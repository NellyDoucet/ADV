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ssier_ancien_pc\Documents Nelly\02. SECRETAIRE COMPTABLE\02. ADMINISTRATION DES VENTES\2025\1. ADV\"/>
    </mc:Choice>
  </mc:AlternateContent>
  <xr:revisionPtr revIDLastSave="0" documentId="13_ncr:1_{1AE56A2E-A049-42A7-A6FB-3B9927B6E190}" xr6:coauthVersionLast="47" xr6:coauthVersionMax="47" xr10:uidLastSave="{00000000-0000-0000-0000-000000000000}"/>
  <bookViews>
    <workbookView xWindow="28680" yWindow="-120" windowWidth="29040" windowHeight="15720" xr2:uid="{804CDE5B-39BF-4929-AEB1-F0CB5DFE85F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4" i="1" l="1"/>
  <c r="O62" i="1"/>
  <c r="O61" i="1"/>
  <c r="O60" i="1"/>
  <c r="O59" i="1"/>
  <c r="O58" i="1"/>
  <c r="O56" i="1"/>
  <c r="O55" i="1"/>
  <c r="O54" i="1"/>
  <c r="O53" i="1"/>
  <c r="O52" i="1"/>
  <c r="O51" i="1"/>
  <c r="O50" i="1"/>
  <c r="O49" i="1"/>
  <c r="O48" i="1"/>
  <c r="O47" i="1"/>
  <c r="O27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</calcChain>
</file>

<file path=xl/sharedStrings.xml><?xml version="1.0" encoding="utf-8"?>
<sst xmlns="http://schemas.openxmlformats.org/spreadsheetml/2006/main" count="178" uniqueCount="101">
  <si>
    <t>CLIENT : LEGRAMD'OR PERIGUEUX</t>
  </si>
  <si>
    <t>Compte comptable…...............</t>
  </si>
  <si>
    <t>CLIENT : LEGRAMD'OR TRELISSAC</t>
  </si>
  <si>
    <t>CONDITIONS DE VENTE</t>
  </si>
  <si>
    <t xml:space="preserve">Remises articles habituelles inscrites - Remise globale 8 % - Escompte 2 %
TVA 20 % hygiène et beauté - TVA 5,5 % alimentation </t>
  </si>
  <si>
    <t xml:space="preserve">Remises articles habituelles inscrites - Remise globale 12 %  - Remise exceptionnelle 5 %
TVA 20 % hygiène et beauté - TVA 5,5 % alimentation </t>
  </si>
  <si>
    <t>F A C T U R E</t>
  </si>
  <si>
    <t>LIBELLÉ</t>
  </si>
  <si>
    <t>QTÉ</t>
  </si>
  <si>
    <t>PU</t>
  </si>
  <si>
    <t>REMISE
%</t>
  </si>
  <si>
    <t>PU NET</t>
  </si>
  <si>
    <t>MONTANT</t>
  </si>
  <si>
    <t>TVA</t>
  </si>
  <si>
    <t>Huile d argan 50 ml</t>
  </si>
  <si>
    <t>Huile de nigelle 50 ml</t>
  </si>
  <si>
    <t>Huile noyaux abricot 50 ml</t>
  </si>
  <si>
    <t>Huile de perilla 50 ml</t>
  </si>
  <si>
    <t>Huile rosier muscat 50 ml</t>
  </si>
  <si>
    <t>Gel intime gynea 200 ml</t>
  </si>
  <si>
    <t>Huile de bellis 50 ml</t>
  </si>
  <si>
    <t>Moussant familial 500ml</t>
  </si>
  <si>
    <t>Beurre de karite</t>
  </si>
  <si>
    <t>Seve florale 30 ml</t>
  </si>
  <si>
    <t>Creme hydra protectrice 50 ml</t>
  </si>
  <si>
    <t>Deodorant purifiant</t>
  </si>
  <si>
    <t>Lait velours corps 200 ml</t>
  </si>
  <si>
    <t>Nectar de rose 50 ml</t>
  </si>
  <si>
    <t>Huile seche satinante 100 ml</t>
  </si>
  <si>
    <t>Crème de nuit age protection 30ml</t>
  </si>
  <si>
    <t>Mousse nettoyante</t>
  </si>
  <si>
    <t>Mini nems aux tofu biologiques 5x60g</t>
  </si>
  <si>
    <t>Lait corps hydratant 400 ml</t>
  </si>
  <si>
    <t>Mini nems vegetariens biologiques 5x60g</t>
  </si>
  <si>
    <t>Lasagne à la bolognaise biologique 350g</t>
  </si>
  <si>
    <t>Morceaux tendres au poulet chat 405 gr</t>
  </si>
  <si>
    <t>Mache</t>
  </si>
  <si>
    <t>Morceaux tendres poulet chien 800 gr</t>
  </si>
  <si>
    <t>Mais cuit sous vide x1</t>
  </si>
  <si>
    <t>Navet</t>
  </si>
  <si>
    <t>Mangue x 1</t>
  </si>
  <si>
    <t>Nectarine 500 gr</t>
  </si>
  <si>
    <t>Margarine omega 3 - 250 gr</t>
  </si>
  <si>
    <t>Nems au porc biologiques 3x90g</t>
  </si>
  <si>
    <t>Margarine soma 250 gr</t>
  </si>
  <si>
    <t>Nems au tofu biologiques 3x90g</t>
  </si>
  <si>
    <t>Margarine soma 500 gr</t>
  </si>
  <si>
    <t>Nems aux crevettes biologiques 3x90g</t>
  </si>
  <si>
    <t>Mayomi 190 gr</t>
  </si>
  <si>
    <t>Nems vegetariens biologiques 3x90g</t>
  </si>
  <si>
    <t>Melon canari</t>
  </si>
  <si>
    <t>Oeufs x 12 moyen</t>
  </si>
  <si>
    <t>NET COMMERCIAL</t>
  </si>
  <si>
    <t>Remise        %</t>
  </si>
  <si>
    <t>CALCUL MONTANT TVA</t>
  </si>
  <si>
    <r>
      <t>2</t>
    </r>
    <r>
      <rPr>
        <vertAlign val="superscript"/>
        <sz val="12"/>
        <color theme="1"/>
        <rFont val="Calibri"/>
        <family val="2"/>
        <scheme val="minor"/>
      </rPr>
      <t>ème</t>
    </r>
    <r>
      <rPr>
        <sz val="12"/>
        <color theme="1"/>
        <rFont val="Calibri"/>
        <family val="2"/>
        <scheme val="minor"/>
      </rPr>
      <t xml:space="preserve"> NET COMMERCIAL</t>
    </r>
  </si>
  <si>
    <t>BASE</t>
  </si>
  <si>
    <t>TAUX</t>
  </si>
  <si>
    <t>Escompte</t>
  </si>
  <si>
    <t>%</t>
  </si>
  <si>
    <t>(1)</t>
  </si>
  <si>
    <t>NET FINANCIER</t>
  </si>
  <si>
    <t>(2)</t>
  </si>
  <si>
    <t>TOTAL TTC</t>
  </si>
  <si>
    <t>CLIENT : JARDIN DU BIEN ÊTRE</t>
  </si>
  <si>
    <t>CLIENT : JARDINS COCREATIFS</t>
  </si>
  <si>
    <t xml:space="preserve">Remises articles habituelles inscrites - Remise globale 11 % - Escompte 3 %
TVA 20 % hygiène et beauté - TVA 5,5 % alimentation </t>
  </si>
  <si>
    <t>Remises articles habituelles inscrites - Remise globale 5 %  - Escompte 2 % 
 Remise exceptionnelle 6 % - TVA 20 % hygiène et beauté - TVA 5,5 % alimentation</t>
  </si>
  <si>
    <t>REMISE
 %</t>
  </si>
  <si>
    <t xml:space="preserve">Age protection - crème contour des lèvres </t>
  </si>
  <si>
    <t>Pain 9 cereales 500 g</t>
  </si>
  <si>
    <t>Après-shampooings aux protéines de blé</t>
  </si>
  <si>
    <t>Pain blanc 500g</t>
  </si>
  <si>
    <t>Gommage corps 200 ml</t>
  </si>
  <si>
    <t>Pain epeautre 500 g</t>
  </si>
  <si>
    <t>Huile avocat 50 ml</t>
  </si>
  <si>
    <t>Pain kamut 500 g</t>
  </si>
  <si>
    <t>Huile carotte 50 ml</t>
  </si>
  <si>
    <t>Pain essene ble 500 gr</t>
  </si>
  <si>
    <t>Lait onagre 200 ml</t>
  </si>
  <si>
    <t>Gel minceur 150 ml</t>
  </si>
  <si>
    <t>Oeufs x 15 petit</t>
  </si>
  <si>
    <t>Creme amincissante 150 ml</t>
  </si>
  <si>
    <t>Oeufs x 4 gros</t>
  </si>
  <si>
    <t>Pain essene amandes 500 gr</t>
  </si>
  <si>
    <t>Oeufs x 6 moyen</t>
  </si>
  <si>
    <t>Paëlla biologique 300g</t>
  </si>
  <si>
    <t>Oeufs x 6 tres gros</t>
  </si>
  <si>
    <t>Lait de vanille coco 500ml</t>
  </si>
  <si>
    <t>Oignon jaune</t>
  </si>
  <si>
    <t>Lait onagre 500 ml</t>
  </si>
  <si>
    <t>Oignon jaune 500 gr</t>
  </si>
  <si>
    <t>Huile minceur 100 ml</t>
  </si>
  <si>
    <t>Olives noires denoyautés 120g</t>
  </si>
  <si>
    <t>Huile relaxante lavande 100 ml</t>
  </si>
  <si>
    <t>Orange 500 gr</t>
  </si>
  <si>
    <t>Pain essene noisettes 500 gr</t>
  </si>
  <si>
    <t xml:space="preserve">Sérum lifting age protection  </t>
  </si>
  <si>
    <t>Pain essene seigle 500 gr</t>
  </si>
  <si>
    <t>Soin regenerant 30 ml</t>
  </si>
  <si>
    <t>Creme solaire fps20 75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</si>
</sst>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0.0%"/>
    <numFmt numFmtId="165" formatCode="00%"/>
    <numFmt numFmtId="166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ED1C24"/>
      <name val="Calibri"/>
      <family val="2"/>
      <scheme val="minor"/>
    </font>
    <font>
      <sz val="12"/>
      <color rgb="FFFF0000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textRotation="255" wrapText="1"/>
    </xf>
    <xf numFmtId="0" fontId="5" fillId="0" borderId="0" xfId="0" applyFont="1" applyAlignment="1">
      <alignment wrapText="1"/>
    </xf>
    <xf numFmtId="43" fontId="5" fillId="0" borderId="12" xfId="1" applyFont="1" applyBorder="1" applyAlignment="1">
      <alignment horizontal="center" vertical="center" wrapText="1"/>
    </xf>
    <xf numFmtId="9" fontId="5" fillId="0" borderId="13" xfId="2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9" fontId="7" fillId="0" borderId="13" xfId="2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43" fontId="5" fillId="0" borderId="13" xfId="1" applyFont="1" applyBorder="1" applyAlignment="1">
      <alignment vertical="center"/>
    </xf>
    <xf numFmtId="4" fontId="8" fillId="0" borderId="13" xfId="0" applyNumberFormat="1" applyFont="1" applyBorder="1" applyAlignment="1">
      <alignment vertical="center"/>
    </xf>
    <xf numFmtId="4" fontId="8" fillId="0" borderId="15" xfId="0" applyNumberFormat="1" applyFont="1" applyBorder="1" applyAlignment="1">
      <alignment vertical="center"/>
    </xf>
    <xf numFmtId="4" fontId="8" fillId="0" borderId="1" xfId="0" applyNumberFormat="1" applyFont="1" applyBorder="1" applyAlignment="1">
      <alignment vertical="center"/>
    </xf>
    <xf numFmtId="3" fontId="5" fillId="0" borderId="12" xfId="0" applyNumberFormat="1" applyFont="1" applyBorder="1" applyAlignment="1">
      <alignment horizontal="center" vertical="center"/>
    </xf>
    <xf numFmtId="9" fontId="8" fillId="0" borderId="13" xfId="2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6" xfId="0" applyFont="1" applyBorder="1" applyAlignment="1">
      <alignment vertical="center"/>
    </xf>
    <xf numFmtId="0" fontId="5" fillId="0" borderId="15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164" fontId="5" fillId="0" borderId="12" xfId="0" applyNumberFormat="1" applyFont="1" applyBorder="1" applyAlignment="1">
      <alignment horizontal="left" vertical="center"/>
    </xf>
    <xf numFmtId="4" fontId="9" fillId="0" borderId="13" xfId="0" applyNumberFormat="1" applyFont="1" applyBorder="1" applyAlignment="1">
      <alignment vertical="center"/>
    </xf>
    <xf numFmtId="4" fontId="9" fillId="0" borderId="0" xfId="0" applyNumberFormat="1" applyFont="1" applyAlignment="1">
      <alignment vertical="center"/>
    </xf>
    <xf numFmtId="0" fontId="5" fillId="0" borderId="17" xfId="0" applyFont="1" applyBorder="1" applyAlignment="1">
      <alignment horizontal="left" vertical="center" indent="1"/>
    </xf>
    <xf numFmtId="0" fontId="5" fillId="0" borderId="14" xfId="0" applyFont="1" applyBorder="1" applyAlignment="1">
      <alignment horizontal="left" vertical="center" indent="1"/>
    </xf>
    <xf numFmtId="164" fontId="5" fillId="0" borderId="12" xfId="0" applyNumberFormat="1" applyFont="1" applyBorder="1" applyAlignment="1">
      <alignment horizontal="left" vertical="center" indent="1"/>
    </xf>
    <xf numFmtId="0" fontId="5" fillId="0" borderId="5" xfId="0" applyFont="1" applyBorder="1" applyAlignment="1">
      <alignment vertical="center"/>
    </xf>
    <xf numFmtId="164" fontId="9" fillId="0" borderId="12" xfId="0" applyNumberFormat="1" applyFont="1" applyBorder="1" applyAlignment="1">
      <alignment horizontal="center" vertical="center"/>
    </xf>
    <xf numFmtId="164" fontId="9" fillId="0" borderId="18" xfId="0" applyNumberFormat="1" applyFont="1" applyBorder="1" applyAlignment="1">
      <alignment horizontal="center" vertical="center"/>
    </xf>
    <xf numFmtId="165" fontId="5" fillId="0" borderId="12" xfId="0" applyNumberFormat="1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right" vertical="center" indent="1"/>
    </xf>
    <xf numFmtId="0" fontId="5" fillId="3" borderId="24" xfId="0" quotePrefix="1" applyFont="1" applyFill="1" applyBorder="1" applyAlignment="1">
      <alignment horizontal="left" vertical="center"/>
    </xf>
    <xf numFmtId="166" fontId="5" fillId="3" borderId="0" xfId="2" applyNumberFormat="1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15" xfId="0" applyFont="1" applyFill="1" applyBorder="1" applyAlignment="1">
      <alignment horizontal="left" vertical="center" indent="1"/>
    </xf>
    <xf numFmtId="0" fontId="5" fillId="3" borderId="2" xfId="0" quotePrefix="1" applyFont="1" applyFill="1" applyBorder="1" applyAlignment="1">
      <alignment horizontal="left" vertical="center"/>
    </xf>
    <xf numFmtId="9" fontId="5" fillId="3" borderId="0" xfId="2" applyFont="1" applyFill="1" applyAlignment="1">
      <alignment vertical="center"/>
    </xf>
    <xf numFmtId="9" fontId="5" fillId="3" borderId="0" xfId="2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166" fontId="5" fillId="3" borderId="26" xfId="2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0" fontId="5" fillId="0" borderId="27" xfId="0" applyFont="1" applyBorder="1" applyAlignment="1">
      <alignment horizontal="left" vertical="center" indent="1"/>
    </xf>
    <xf numFmtId="0" fontId="5" fillId="0" borderId="10" xfId="0" applyFont="1" applyBorder="1" applyAlignment="1">
      <alignment horizontal="left" vertical="center" indent="1"/>
    </xf>
    <xf numFmtId="164" fontId="5" fillId="0" borderId="8" xfId="0" applyNumberFormat="1" applyFont="1" applyBorder="1" applyAlignment="1">
      <alignment horizontal="left" vertical="center" indent="1"/>
    </xf>
    <xf numFmtId="164" fontId="5" fillId="0" borderId="0" xfId="0" applyNumberFormat="1" applyFont="1" applyAlignment="1">
      <alignment horizontal="left" vertical="center" indent="1"/>
    </xf>
    <xf numFmtId="0" fontId="2" fillId="2" borderId="10" xfId="0" applyFont="1" applyFill="1" applyBorder="1" applyAlignment="1">
      <alignment vertical="center"/>
    </xf>
    <xf numFmtId="0" fontId="3" fillId="2" borderId="10" xfId="0" applyFont="1" applyFill="1" applyBorder="1"/>
    <xf numFmtId="0" fontId="2" fillId="2" borderId="26" xfId="0" applyFont="1" applyFill="1" applyBorder="1" applyAlignment="1">
      <alignment vertical="center"/>
    </xf>
    <xf numFmtId="0" fontId="5" fillId="0" borderId="2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255" wrapText="1"/>
    </xf>
    <xf numFmtId="43" fontId="5" fillId="0" borderId="12" xfId="1" applyFont="1" applyBorder="1" applyAlignment="1">
      <alignment vertical="center"/>
    </xf>
    <xf numFmtId="4" fontId="8" fillId="0" borderId="12" xfId="0" applyNumberFormat="1" applyFont="1" applyBorder="1" applyAlignment="1">
      <alignment vertical="center"/>
    </xf>
    <xf numFmtId="43" fontId="5" fillId="0" borderId="13" xfId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/>
    </xf>
    <xf numFmtId="0" fontId="5" fillId="4" borderId="15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733425</xdr:colOff>
      <xdr:row>35</xdr:row>
      <xdr:rowOff>7619</xdr:rowOff>
    </xdr:from>
    <xdr:to>
      <xdr:col>29</xdr:col>
      <xdr:colOff>457200</xdr:colOff>
      <xdr:row>38</xdr:row>
      <xdr:rowOff>16192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B7FCBEC-8CEF-440F-AA6D-609C4E906E7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50425" y="9065894"/>
          <a:ext cx="447675" cy="555308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28</xdr:col>
      <xdr:colOff>733425</xdr:colOff>
      <xdr:row>69</xdr:row>
      <xdr:rowOff>7619</xdr:rowOff>
    </xdr:from>
    <xdr:ext cx="444341" cy="562928"/>
    <xdr:pic>
      <xdr:nvPicPr>
        <xdr:cNvPr id="3" name="Image 2">
          <a:extLst>
            <a:ext uri="{FF2B5EF4-FFF2-40B4-BE49-F238E27FC236}">
              <a16:creationId xmlns:a16="http://schemas.microsoft.com/office/drawing/2014/main" id="{804C899B-7CFA-4C83-820F-2B4BAFA9D47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50425" y="19295744"/>
          <a:ext cx="444341" cy="562928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B579-756B-4C51-A2B8-5C48DB871A3F}">
  <dimension ref="B3:AMO1048563"/>
  <sheetViews>
    <sheetView tabSelected="1" topLeftCell="A61" workbookViewId="0">
      <selection activeCell="I83" sqref="I83"/>
    </sheetView>
  </sheetViews>
  <sheetFormatPr baseColWidth="10" defaultColWidth="12.88671875" defaultRowHeight="14.1" customHeight="1" x14ac:dyDescent="0.3"/>
  <cols>
    <col min="1" max="1" width="1.44140625" style="5" customWidth="1"/>
    <col min="2" max="2" width="23.109375" style="6" customWidth="1"/>
    <col min="3" max="3" width="8.109375" style="6" customWidth="1"/>
    <col min="4" max="4" width="13.5546875" style="6" customWidth="1"/>
    <col min="5" max="5" width="9.88671875" style="6" customWidth="1"/>
    <col min="6" max="6" width="11.109375" style="6" customWidth="1"/>
    <col min="7" max="7" width="10" style="6" customWidth="1"/>
    <col min="8" max="8" width="14.33203125" style="6" customWidth="1"/>
    <col min="9" max="9" width="16.6640625" style="6" customWidth="1"/>
    <col min="10" max="10" width="2.88671875" style="6" customWidth="1"/>
    <col min="11" max="11" width="1.44140625" style="5" customWidth="1"/>
    <col min="12" max="12" width="20" style="6" customWidth="1"/>
    <col min="13" max="13" width="8.109375" style="6" customWidth="1"/>
    <col min="14" max="14" width="20.33203125" style="6" customWidth="1"/>
    <col min="15" max="15" width="9.88671875" style="6" customWidth="1"/>
    <col min="16" max="16" width="9.5546875" style="6" customWidth="1"/>
    <col min="17" max="17" width="10" style="6" customWidth="1"/>
    <col min="18" max="19" width="14.33203125" style="6" customWidth="1"/>
    <col min="20" max="20" width="3" style="6" customWidth="1"/>
    <col min="21" max="21" width="12.33203125" style="6" customWidth="1"/>
    <col min="22" max="22" width="6.5546875" style="6" customWidth="1"/>
    <col min="23" max="23" width="23.44140625" style="6" customWidth="1"/>
    <col min="24" max="1029" width="12.33203125" style="6" customWidth="1"/>
    <col min="1030" max="16384" width="12.88671875" style="5"/>
  </cols>
  <sheetData>
    <row r="3" spans="2:1029" s="3" customFormat="1" ht="32.4" customHeight="1" x14ac:dyDescent="0.35">
      <c r="B3" s="1" t="s">
        <v>0</v>
      </c>
      <c r="C3" s="1"/>
      <c r="D3" s="1"/>
      <c r="E3" s="1"/>
      <c r="F3" s="1"/>
      <c r="G3" s="2" t="s">
        <v>1</v>
      </c>
      <c r="H3" s="1"/>
      <c r="I3" s="1"/>
      <c r="J3" s="1"/>
      <c r="L3" s="1" t="s">
        <v>2</v>
      </c>
      <c r="M3" s="1"/>
      <c r="N3" s="1"/>
      <c r="O3" s="1"/>
      <c r="P3" s="1"/>
      <c r="Q3" s="2" t="s">
        <v>1</v>
      </c>
      <c r="R3" s="1"/>
      <c r="S3" s="1"/>
      <c r="T3" s="1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</row>
    <row r="4" spans="2:1029" ht="16.95" customHeight="1" x14ac:dyDescent="0.3">
      <c r="B4" s="89" t="s">
        <v>3</v>
      </c>
      <c r="C4" s="89"/>
      <c r="D4" s="89"/>
      <c r="E4" s="89"/>
      <c r="F4" s="89"/>
      <c r="G4" s="89"/>
      <c r="H4" s="89"/>
      <c r="I4" s="89"/>
      <c r="J4" s="89"/>
      <c r="L4" s="89" t="s">
        <v>3</v>
      </c>
      <c r="M4" s="89"/>
      <c r="N4" s="89"/>
      <c r="O4" s="89"/>
      <c r="P4" s="89"/>
      <c r="Q4" s="89"/>
      <c r="R4" s="89"/>
      <c r="S4" s="89"/>
      <c r="T4" s="89"/>
    </row>
    <row r="5" spans="2:1029" s="8" customFormat="1" ht="40.200000000000003" customHeight="1" x14ac:dyDescent="0.3">
      <c r="B5" s="92" t="s">
        <v>4</v>
      </c>
      <c r="C5" s="101"/>
      <c r="D5" s="101"/>
      <c r="E5" s="101"/>
      <c r="F5" s="101"/>
      <c r="G5" s="101"/>
      <c r="H5" s="101"/>
      <c r="I5" s="101"/>
      <c r="J5" s="102"/>
      <c r="L5" s="92" t="s">
        <v>5</v>
      </c>
      <c r="M5" s="101"/>
      <c r="N5" s="101"/>
      <c r="O5" s="101"/>
      <c r="P5" s="101"/>
      <c r="Q5" s="101"/>
      <c r="R5" s="101"/>
      <c r="S5" s="101"/>
      <c r="T5" s="102"/>
    </row>
    <row r="7" spans="2:1029" ht="16.95" customHeight="1" x14ac:dyDescent="0.3">
      <c r="B7" s="89" t="s">
        <v>6</v>
      </c>
      <c r="C7" s="89"/>
      <c r="D7" s="89"/>
      <c r="E7" s="89"/>
      <c r="F7" s="89"/>
      <c r="G7" s="89"/>
      <c r="H7" s="89"/>
      <c r="I7" s="89"/>
      <c r="J7" s="89"/>
      <c r="L7" s="89" t="s">
        <v>6</v>
      </c>
      <c r="M7" s="89"/>
      <c r="N7" s="89"/>
      <c r="O7" s="89"/>
      <c r="P7" s="89"/>
      <c r="Q7" s="89"/>
      <c r="R7" s="89"/>
      <c r="S7" s="89"/>
      <c r="T7" s="89"/>
    </row>
    <row r="8" spans="2:1029" s="14" customFormat="1" ht="41.4" customHeight="1" x14ac:dyDescent="0.3">
      <c r="B8" s="83" t="s">
        <v>7</v>
      </c>
      <c r="C8" s="84"/>
      <c r="D8" s="85"/>
      <c r="E8" s="9" t="s">
        <v>8</v>
      </c>
      <c r="F8" s="10" t="s">
        <v>9</v>
      </c>
      <c r="G8" s="11" t="s">
        <v>10</v>
      </c>
      <c r="H8" s="10" t="s">
        <v>11</v>
      </c>
      <c r="I8" s="12" t="s">
        <v>12</v>
      </c>
      <c r="J8" s="13" t="s">
        <v>13</v>
      </c>
      <c r="L8" s="83" t="s">
        <v>7</v>
      </c>
      <c r="M8" s="84"/>
      <c r="N8" s="85"/>
      <c r="O8" s="9" t="s">
        <v>8</v>
      </c>
      <c r="P8" s="10" t="s">
        <v>9</v>
      </c>
      <c r="Q8" s="11" t="s">
        <v>10</v>
      </c>
      <c r="R8" s="10" t="s">
        <v>11</v>
      </c>
      <c r="S8" s="10" t="s">
        <v>12</v>
      </c>
      <c r="T8" s="13" t="s">
        <v>13</v>
      </c>
    </row>
    <row r="9" spans="2:1029" s="14" customFormat="1" ht="19.95" customHeight="1" x14ac:dyDescent="0.3">
      <c r="B9" s="77" t="s">
        <v>14</v>
      </c>
      <c r="C9" s="78"/>
      <c r="D9" s="79"/>
      <c r="E9" s="7">
        <v>52</v>
      </c>
      <c r="F9" s="15">
        <v>15.28</v>
      </c>
      <c r="G9" s="16"/>
      <c r="H9" s="17"/>
      <c r="I9" s="18"/>
      <c r="J9" s="19"/>
      <c r="L9" s="77" t="s">
        <v>15</v>
      </c>
      <c r="M9" s="78"/>
      <c r="N9" s="79"/>
      <c r="O9" s="20">
        <f>E9-10</f>
        <v>42</v>
      </c>
      <c r="P9" s="15">
        <v>13.47</v>
      </c>
      <c r="Q9" s="21"/>
      <c r="R9" s="17"/>
      <c r="S9" s="17"/>
      <c r="T9" s="19"/>
    </row>
    <row r="10" spans="2:1029" s="14" customFormat="1" ht="19.95" customHeight="1" x14ac:dyDescent="0.3">
      <c r="B10" s="77" t="s">
        <v>16</v>
      </c>
      <c r="C10" s="78"/>
      <c r="D10" s="79"/>
      <c r="E10" s="7">
        <v>62</v>
      </c>
      <c r="F10" s="15">
        <v>9.81</v>
      </c>
      <c r="G10" s="16">
        <v>0.08</v>
      </c>
      <c r="H10" s="17"/>
      <c r="I10" s="18"/>
      <c r="J10" s="19"/>
      <c r="L10" s="77" t="s">
        <v>17</v>
      </c>
      <c r="M10" s="78"/>
      <c r="N10" s="79"/>
      <c r="O10" s="20">
        <f>E10+25</f>
        <v>87</v>
      </c>
      <c r="P10" s="15">
        <v>18.23</v>
      </c>
      <c r="Q10" s="21"/>
      <c r="R10" s="17"/>
      <c r="S10" s="17"/>
      <c r="T10" s="19"/>
    </row>
    <row r="11" spans="2:1029" s="14" customFormat="1" ht="19.95" customHeight="1" x14ac:dyDescent="0.3">
      <c r="B11" s="77" t="s">
        <v>18</v>
      </c>
      <c r="C11" s="78"/>
      <c r="D11" s="79"/>
      <c r="E11" s="7">
        <v>150</v>
      </c>
      <c r="F11" s="15">
        <v>20.52</v>
      </c>
      <c r="G11" s="16"/>
      <c r="H11" s="17"/>
      <c r="I11" s="18"/>
      <c r="J11" s="19"/>
      <c r="L11" s="77" t="s">
        <v>19</v>
      </c>
      <c r="M11" s="78"/>
      <c r="N11" s="79"/>
      <c r="O11" s="20">
        <f>E11-33</f>
        <v>117</v>
      </c>
      <c r="P11" s="15">
        <v>12.1</v>
      </c>
      <c r="Q11" s="21">
        <v>0.2</v>
      </c>
      <c r="R11" s="17"/>
      <c r="S11" s="17"/>
      <c r="T11" s="19"/>
    </row>
    <row r="12" spans="2:1029" s="14" customFormat="1" ht="19.95" customHeight="1" x14ac:dyDescent="0.3">
      <c r="B12" s="77" t="s">
        <v>20</v>
      </c>
      <c r="C12" s="78"/>
      <c r="D12" s="79"/>
      <c r="E12" s="7">
        <v>120</v>
      </c>
      <c r="F12" s="15">
        <v>14.38</v>
      </c>
      <c r="G12" s="16">
        <v>7.0000000000000007E-2</v>
      </c>
      <c r="H12" s="17"/>
      <c r="I12" s="18"/>
      <c r="J12" s="19"/>
      <c r="L12" s="77" t="s">
        <v>21</v>
      </c>
      <c r="M12" s="78"/>
      <c r="N12" s="79"/>
      <c r="O12" s="20">
        <f t="shared" ref="O12" si="0">E12-10</f>
        <v>110</v>
      </c>
      <c r="P12" s="15">
        <v>13.66</v>
      </c>
      <c r="Q12" s="21">
        <v>0.22</v>
      </c>
      <c r="R12" s="17"/>
      <c r="S12" s="17"/>
      <c r="T12" s="19"/>
    </row>
    <row r="13" spans="2:1029" s="14" customFormat="1" ht="19.95" customHeight="1" x14ac:dyDescent="0.3">
      <c r="B13" s="77" t="s">
        <v>22</v>
      </c>
      <c r="C13" s="78"/>
      <c r="D13" s="79"/>
      <c r="E13" s="7">
        <v>33</v>
      </c>
      <c r="F13" s="15">
        <v>13.64</v>
      </c>
      <c r="G13" s="16"/>
      <c r="H13" s="17"/>
      <c r="I13" s="18"/>
      <c r="J13" s="19"/>
      <c r="L13" s="77" t="s">
        <v>23</v>
      </c>
      <c r="M13" s="78"/>
      <c r="N13" s="79"/>
      <c r="O13" s="20">
        <f t="shared" ref="O13" si="1">E13+25</f>
        <v>58</v>
      </c>
      <c r="P13" s="15">
        <v>35.299999999999997</v>
      </c>
      <c r="Q13" s="21"/>
      <c r="R13" s="17"/>
      <c r="S13" s="17"/>
      <c r="T13" s="19"/>
    </row>
    <row r="14" spans="2:1029" s="14" customFormat="1" ht="19.95" customHeight="1" x14ac:dyDescent="0.3">
      <c r="B14" s="77" t="s">
        <v>24</v>
      </c>
      <c r="C14" s="78"/>
      <c r="D14" s="79"/>
      <c r="E14" s="7">
        <v>48</v>
      </c>
      <c r="F14" s="15">
        <v>26.8</v>
      </c>
      <c r="G14" s="16">
        <v>0.16</v>
      </c>
      <c r="H14" s="17"/>
      <c r="I14" s="18"/>
      <c r="J14" s="19"/>
      <c r="L14" s="77" t="s">
        <v>25</v>
      </c>
      <c r="M14" s="78"/>
      <c r="N14" s="79"/>
      <c r="O14" s="20">
        <f t="shared" ref="O14" si="2">E14-33</f>
        <v>15</v>
      </c>
      <c r="P14" s="15">
        <v>16.02</v>
      </c>
      <c r="Q14" s="21"/>
      <c r="R14" s="17"/>
      <c r="S14" s="17"/>
      <c r="T14" s="19"/>
    </row>
    <row r="15" spans="2:1029" s="14" customFormat="1" ht="19.95" customHeight="1" x14ac:dyDescent="0.3">
      <c r="B15" s="77" t="s">
        <v>26</v>
      </c>
      <c r="C15" s="78"/>
      <c r="D15" s="79"/>
      <c r="E15" s="7">
        <v>110</v>
      </c>
      <c r="F15" s="15">
        <v>18.43</v>
      </c>
      <c r="G15" s="16"/>
      <c r="H15" s="17"/>
      <c r="I15" s="18"/>
      <c r="J15" s="19"/>
      <c r="L15" s="77" t="s">
        <v>27</v>
      </c>
      <c r="M15" s="78"/>
      <c r="N15" s="79"/>
      <c r="O15" s="20">
        <f t="shared" ref="O15" si="3">E15-10</f>
        <v>100</v>
      </c>
      <c r="P15" s="15">
        <v>29.4</v>
      </c>
      <c r="Q15" s="21">
        <v>0.15</v>
      </c>
      <c r="R15" s="17"/>
      <c r="S15" s="17"/>
      <c r="T15" s="19"/>
    </row>
    <row r="16" spans="2:1029" s="14" customFormat="1" ht="19.95" customHeight="1" x14ac:dyDescent="0.3">
      <c r="B16" s="77" t="s">
        <v>28</v>
      </c>
      <c r="C16" s="78"/>
      <c r="D16" s="79"/>
      <c r="E16" s="7">
        <v>85</v>
      </c>
      <c r="F16" s="15">
        <v>21.06</v>
      </c>
      <c r="G16" s="16"/>
      <c r="H16" s="17"/>
      <c r="I16" s="18"/>
      <c r="J16" s="19"/>
      <c r="L16" s="77" t="s">
        <v>29</v>
      </c>
      <c r="M16" s="78"/>
      <c r="N16" s="79"/>
      <c r="O16" s="20">
        <f t="shared" ref="O16" si="4">E16+25</f>
        <v>110</v>
      </c>
      <c r="P16" s="15">
        <v>36.25</v>
      </c>
      <c r="Q16" s="21">
        <v>0.13</v>
      </c>
      <c r="R16" s="17"/>
      <c r="S16" s="17"/>
      <c r="T16" s="19"/>
    </row>
    <row r="17" spans="2:20" s="14" customFormat="1" ht="19.95" customHeight="1" x14ac:dyDescent="0.3">
      <c r="B17" s="77" t="s">
        <v>30</v>
      </c>
      <c r="C17" s="78"/>
      <c r="D17" s="79"/>
      <c r="E17" s="7">
        <v>41</v>
      </c>
      <c r="F17" s="15">
        <v>13.64</v>
      </c>
      <c r="G17" s="16">
        <v>0.18</v>
      </c>
      <c r="H17" s="17"/>
      <c r="I17" s="18"/>
      <c r="J17" s="19"/>
      <c r="L17" s="77" t="s">
        <v>31</v>
      </c>
      <c r="M17" s="78"/>
      <c r="N17" s="79"/>
      <c r="O17" s="20">
        <f t="shared" ref="O17" si="5">E17-33</f>
        <v>8</v>
      </c>
      <c r="P17" s="15">
        <v>7.36</v>
      </c>
      <c r="Q17" s="21"/>
      <c r="R17" s="17"/>
      <c r="S17" s="17"/>
      <c r="T17" s="19"/>
    </row>
    <row r="18" spans="2:20" s="14" customFormat="1" ht="19.95" customHeight="1" x14ac:dyDescent="0.3">
      <c r="B18" s="77" t="s">
        <v>32</v>
      </c>
      <c r="C18" s="78"/>
      <c r="D18" s="79"/>
      <c r="E18" s="7">
        <v>20</v>
      </c>
      <c r="F18" s="15">
        <v>22.48</v>
      </c>
      <c r="G18" s="16"/>
      <c r="H18" s="17"/>
      <c r="I18" s="18"/>
      <c r="J18" s="19"/>
      <c r="L18" s="77" t="s">
        <v>33</v>
      </c>
      <c r="M18" s="78"/>
      <c r="N18" s="79"/>
      <c r="O18" s="20">
        <f t="shared" ref="O18" si="6">E18-10</f>
        <v>10</v>
      </c>
      <c r="P18" s="15">
        <v>6.68</v>
      </c>
      <c r="Q18" s="21"/>
      <c r="R18" s="17"/>
      <c r="S18" s="17"/>
      <c r="T18" s="19"/>
    </row>
    <row r="19" spans="2:20" s="14" customFormat="1" ht="19.95" customHeight="1" x14ac:dyDescent="0.3">
      <c r="B19" s="77" t="s">
        <v>34</v>
      </c>
      <c r="C19" s="78"/>
      <c r="D19" s="79"/>
      <c r="E19" s="7">
        <v>59</v>
      </c>
      <c r="F19" s="15">
        <v>7.21</v>
      </c>
      <c r="G19" s="16"/>
      <c r="H19" s="17"/>
      <c r="I19" s="18"/>
      <c r="J19" s="19"/>
      <c r="L19" s="77" t="s">
        <v>35</v>
      </c>
      <c r="M19" s="78"/>
      <c r="N19" s="79"/>
      <c r="O19" s="20">
        <f t="shared" ref="O19" si="7">E19+25</f>
        <v>84</v>
      </c>
      <c r="P19" s="15">
        <v>2.67</v>
      </c>
      <c r="Q19" s="21">
        <v>0.05</v>
      </c>
      <c r="R19" s="17"/>
      <c r="S19" s="17"/>
      <c r="T19" s="19"/>
    </row>
    <row r="20" spans="2:20" s="14" customFormat="1" ht="19.95" customHeight="1" x14ac:dyDescent="0.3">
      <c r="B20" s="77" t="s">
        <v>36</v>
      </c>
      <c r="C20" s="78"/>
      <c r="D20" s="79"/>
      <c r="E20" s="7">
        <v>50</v>
      </c>
      <c r="F20" s="15">
        <v>5.86</v>
      </c>
      <c r="G20" s="16">
        <v>0.06</v>
      </c>
      <c r="H20" s="17"/>
      <c r="I20" s="18"/>
      <c r="J20" s="19"/>
      <c r="L20" s="77" t="s">
        <v>37</v>
      </c>
      <c r="M20" s="78"/>
      <c r="N20" s="79"/>
      <c r="O20" s="20">
        <f t="shared" ref="O20" si="8">E20-33</f>
        <v>17</v>
      </c>
      <c r="P20" s="15">
        <v>4.97</v>
      </c>
      <c r="Q20" s="21"/>
      <c r="R20" s="17"/>
      <c r="S20" s="17"/>
      <c r="T20" s="19"/>
    </row>
    <row r="21" spans="2:20" s="14" customFormat="1" ht="19.95" customHeight="1" x14ac:dyDescent="0.3">
      <c r="B21" s="77" t="s">
        <v>38</v>
      </c>
      <c r="C21" s="78"/>
      <c r="D21" s="79"/>
      <c r="E21" s="7">
        <v>74</v>
      </c>
      <c r="F21" s="15">
        <v>4.7300000000000004</v>
      </c>
      <c r="G21" s="16">
        <v>0.06</v>
      </c>
      <c r="H21" s="17"/>
      <c r="I21" s="18"/>
      <c r="J21" s="19"/>
      <c r="L21" s="77" t="s">
        <v>39</v>
      </c>
      <c r="M21" s="78"/>
      <c r="N21" s="79"/>
      <c r="O21" s="20">
        <f t="shared" ref="O21" si="9">E21-10</f>
        <v>64</v>
      </c>
      <c r="P21" s="15">
        <v>5.54</v>
      </c>
      <c r="Q21" s="21">
        <v>0.03</v>
      </c>
      <c r="R21" s="17"/>
      <c r="S21" s="17"/>
      <c r="T21" s="19"/>
    </row>
    <row r="22" spans="2:20" s="14" customFormat="1" ht="19.95" customHeight="1" x14ac:dyDescent="0.3">
      <c r="B22" s="77" t="s">
        <v>40</v>
      </c>
      <c r="C22" s="78"/>
      <c r="D22" s="79"/>
      <c r="E22" s="7">
        <v>52</v>
      </c>
      <c r="F22" s="15">
        <v>1.55</v>
      </c>
      <c r="G22" s="16">
        <v>7.0000000000000007E-2</v>
      </c>
      <c r="H22" s="17"/>
      <c r="I22" s="18"/>
      <c r="J22" s="19"/>
      <c r="L22" s="77" t="s">
        <v>41</v>
      </c>
      <c r="M22" s="78"/>
      <c r="N22" s="79"/>
      <c r="O22" s="20">
        <f t="shared" ref="O22" si="10">E22+25</f>
        <v>77</v>
      </c>
      <c r="P22" s="15">
        <v>4.28</v>
      </c>
      <c r="Q22" s="21">
        <v>0.03</v>
      </c>
      <c r="R22" s="17"/>
      <c r="S22" s="17"/>
      <c r="T22" s="19"/>
    </row>
    <row r="23" spans="2:20" s="14" customFormat="1" ht="19.95" customHeight="1" x14ac:dyDescent="0.3">
      <c r="B23" s="77" t="s">
        <v>42</v>
      </c>
      <c r="C23" s="78"/>
      <c r="D23" s="79"/>
      <c r="E23" s="7">
        <v>63</v>
      </c>
      <c r="F23" s="15">
        <v>5.58</v>
      </c>
      <c r="G23" s="16">
        <v>7.0000000000000007E-2</v>
      </c>
      <c r="H23" s="17"/>
      <c r="I23" s="18"/>
      <c r="J23" s="19"/>
      <c r="L23" s="77" t="s">
        <v>43</v>
      </c>
      <c r="M23" s="78"/>
      <c r="N23" s="79"/>
      <c r="O23" s="20">
        <f t="shared" ref="O23" si="11">E23-33</f>
        <v>30</v>
      </c>
      <c r="P23" s="15">
        <v>6.53</v>
      </c>
      <c r="Q23" s="21"/>
      <c r="R23" s="17"/>
      <c r="S23" s="17"/>
      <c r="T23" s="19"/>
    </row>
    <row r="24" spans="2:20" s="14" customFormat="1" ht="19.95" customHeight="1" x14ac:dyDescent="0.3">
      <c r="B24" s="77" t="s">
        <v>44</v>
      </c>
      <c r="C24" s="78"/>
      <c r="D24" s="79"/>
      <c r="E24" s="7">
        <v>12</v>
      </c>
      <c r="F24" s="15">
        <v>3.27</v>
      </c>
      <c r="G24" s="16"/>
      <c r="H24" s="17"/>
      <c r="I24" s="18"/>
      <c r="J24" s="19"/>
      <c r="L24" s="77" t="s">
        <v>45</v>
      </c>
      <c r="M24" s="78"/>
      <c r="N24" s="79"/>
      <c r="O24" s="20">
        <f t="shared" ref="O24" si="12">E24-10</f>
        <v>2</v>
      </c>
      <c r="P24" s="15">
        <v>6.53</v>
      </c>
      <c r="Q24" s="21"/>
      <c r="R24" s="17"/>
      <c r="S24" s="17"/>
      <c r="T24" s="19"/>
    </row>
    <row r="25" spans="2:20" s="14" customFormat="1" ht="19.95" customHeight="1" x14ac:dyDescent="0.3">
      <c r="B25" s="77" t="s">
        <v>46</v>
      </c>
      <c r="C25" s="78"/>
      <c r="D25" s="79"/>
      <c r="E25" s="7">
        <v>12</v>
      </c>
      <c r="F25" s="15">
        <v>5.72</v>
      </c>
      <c r="G25" s="16">
        <v>0.1</v>
      </c>
      <c r="H25" s="17"/>
      <c r="I25" s="18"/>
      <c r="J25" s="19"/>
      <c r="L25" s="77" t="s">
        <v>47</v>
      </c>
      <c r="M25" s="78"/>
      <c r="N25" s="79"/>
      <c r="O25" s="20">
        <f t="shared" ref="O25" si="13">E25+25</f>
        <v>37</v>
      </c>
      <c r="P25" s="15">
        <v>6.53</v>
      </c>
      <c r="Q25" s="21">
        <v>0.08</v>
      </c>
      <c r="R25" s="17"/>
      <c r="S25" s="17"/>
      <c r="T25" s="19"/>
    </row>
    <row r="26" spans="2:20" s="6" customFormat="1" ht="19.95" customHeight="1" x14ac:dyDescent="0.3">
      <c r="B26" s="77" t="s">
        <v>48</v>
      </c>
      <c r="C26" s="78"/>
      <c r="D26" s="79"/>
      <c r="E26" s="22">
        <v>12</v>
      </c>
      <c r="F26" s="23">
        <v>4.67</v>
      </c>
      <c r="G26" s="16"/>
      <c r="H26" s="24"/>
      <c r="I26" s="25"/>
      <c r="J26" s="26"/>
      <c r="L26" s="77" t="s">
        <v>49</v>
      </c>
      <c r="M26" s="78"/>
      <c r="N26" s="79"/>
      <c r="O26" s="20">
        <v>150</v>
      </c>
      <c r="P26" s="23">
        <v>5.64</v>
      </c>
      <c r="Q26" s="21">
        <v>0.11</v>
      </c>
      <c r="R26" s="24"/>
      <c r="S26" s="24"/>
      <c r="T26" s="26"/>
    </row>
    <row r="27" spans="2:20" s="6" customFormat="1" ht="19.95" customHeight="1" x14ac:dyDescent="0.3">
      <c r="B27" s="77" t="s">
        <v>50</v>
      </c>
      <c r="C27" s="78"/>
      <c r="D27" s="79"/>
      <c r="E27" s="27">
        <v>15</v>
      </c>
      <c r="F27" s="23">
        <v>5.33</v>
      </c>
      <c r="G27" s="16"/>
      <c r="H27" s="24"/>
      <c r="I27" s="25"/>
      <c r="J27" s="26"/>
      <c r="L27" s="77" t="s">
        <v>51</v>
      </c>
      <c r="M27" s="78"/>
      <c r="N27" s="79"/>
      <c r="O27" s="20">
        <f t="shared" ref="O27" si="14">E27-10</f>
        <v>5</v>
      </c>
      <c r="P27" s="23">
        <v>5.64</v>
      </c>
      <c r="Q27" s="28"/>
      <c r="R27" s="24"/>
      <c r="S27" s="24"/>
      <c r="T27" s="26"/>
    </row>
    <row r="28" spans="2:20" s="6" customFormat="1" ht="19.95" customHeight="1" x14ac:dyDescent="0.3">
      <c r="B28" s="29"/>
      <c r="C28" s="30"/>
      <c r="D28" s="30"/>
      <c r="E28" s="31"/>
      <c r="F28" s="32" t="s">
        <v>52</v>
      </c>
      <c r="G28" s="33"/>
      <c r="H28" s="34"/>
      <c r="I28" s="35"/>
      <c r="J28" s="36"/>
      <c r="L28" s="30"/>
      <c r="M28" s="30"/>
      <c r="N28" s="30"/>
      <c r="O28" s="31"/>
      <c r="P28" s="37" t="s">
        <v>52</v>
      </c>
      <c r="Q28" s="38"/>
      <c r="R28" s="39"/>
      <c r="S28" s="35"/>
      <c r="T28" s="36"/>
    </row>
    <row r="29" spans="2:20" s="6" customFormat="1" ht="19.95" customHeight="1" x14ac:dyDescent="0.3">
      <c r="B29" s="40"/>
      <c r="F29" s="32" t="s">
        <v>53</v>
      </c>
      <c r="G29" s="33"/>
      <c r="H29" s="41"/>
      <c r="I29" s="35"/>
      <c r="J29" s="36"/>
      <c r="P29" s="37" t="s">
        <v>53</v>
      </c>
      <c r="Q29" s="38"/>
      <c r="R29" s="42"/>
      <c r="S29" s="35"/>
      <c r="T29" s="36"/>
    </row>
    <row r="30" spans="2:20" s="6" customFormat="1" ht="19.95" customHeight="1" x14ac:dyDescent="0.3">
      <c r="F30" s="32" t="s">
        <v>53</v>
      </c>
      <c r="G30" s="33"/>
      <c r="H30" s="41"/>
      <c r="I30" s="35"/>
      <c r="J30" s="36"/>
      <c r="P30" s="37" t="s">
        <v>53</v>
      </c>
      <c r="Q30" s="38"/>
      <c r="R30" s="42"/>
      <c r="S30" s="35"/>
      <c r="T30" s="36"/>
    </row>
    <row r="31" spans="2:20" s="6" customFormat="1" ht="19.95" customHeight="1" x14ac:dyDescent="0.3">
      <c r="B31" s="80" t="s">
        <v>54</v>
      </c>
      <c r="C31" s="81"/>
      <c r="D31" s="82"/>
      <c r="F31" s="32" t="s">
        <v>55</v>
      </c>
      <c r="G31" s="33"/>
      <c r="H31" s="43"/>
      <c r="I31" s="35"/>
      <c r="J31" s="36"/>
      <c r="L31" s="80" t="s">
        <v>54</v>
      </c>
      <c r="M31" s="81"/>
      <c r="N31" s="82"/>
      <c r="P31" s="37" t="s">
        <v>55</v>
      </c>
      <c r="Q31" s="38"/>
      <c r="R31" s="43"/>
      <c r="S31" s="35"/>
      <c r="T31" s="36"/>
    </row>
    <row r="32" spans="2:20" s="6" customFormat="1" ht="19.95" customHeight="1" x14ac:dyDescent="0.3">
      <c r="B32" s="44" t="s">
        <v>56</v>
      </c>
      <c r="C32" s="45" t="s">
        <v>57</v>
      </c>
      <c r="D32" s="45" t="s">
        <v>13</v>
      </c>
      <c r="E32" s="46"/>
      <c r="F32" s="47" t="s">
        <v>58</v>
      </c>
      <c r="G32" s="48" t="s">
        <v>59</v>
      </c>
      <c r="H32" s="41"/>
      <c r="I32" s="35"/>
      <c r="J32" s="36"/>
      <c r="L32" s="44" t="s">
        <v>56</v>
      </c>
      <c r="M32" s="49" t="s">
        <v>57</v>
      </c>
      <c r="N32" s="50" t="s">
        <v>13</v>
      </c>
      <c r="P32" s="37" t="s">
        <v>58</v>
      </c>
      <c r="Q32" s="51" t="s">
        <v>59</v>
      </c>
      <c r="R32" s="41"/>
      <c r="S32" s="35"/>
      <c r="T32" s="36"/>
    </row>
    <row r="33" spans="2:1029" s="6" customFormat="1" ht="19.95" customHeight="1" x14ac:dyDescent="0.3">
      <c r="B33" s="52" t="s">
        <v>60</v>
      </c>
      <c r="C33" s="53">
        <v>5.5E-2</v>
      </c>
      <c r="D33" s="54"/>
      <c r="E33" s="55"/>
      <c r="F33" s="56" t="s">
        <v>61</v>
      </c>
      <c r="G33" s="38"/>
      <c r="H33" s="43"/>
      <c r="I33" s="35"/>
      <c r="J33" s="36"/>
      <c r="L33" s="52" t="s">
        <v>60</v>
      </c>
      <c r="M33" s="53">
        <v>5.5E-2</v>
      </c>
      <c r="N33" s="54"/>
      <c r="P33" s="37" t="s">
        <v>61</v>
      </c>
      <c r="Q33" s="38"/>
      <c r="R33" s="43"/>
      <c r="S33" s="35"/>
      <c r="T33" s="36"/>
    </row>
    <row r="34" spans="2:1029" s="6" customFormat="1" ht="19.95" customHeight="1" x14ac:dyDescent="0.3">
      <c r="B34" s="57" t="s">
        <v>62</v>
      </c>
      <c r="C34" s="58">
        <v>0.2</v>
      </c>
      <c r="D34" s="45"/>
      <c r="E34" s="46"/>
      <c r="F34" s="47" t="s">
        <v>13</v>
      </c>
      <c r="G34" s="38"/>
      <c r="H34" s="41"/>
      <c r="I34" s="35"/>
      <c r="J34" s="36"/>
      <c r="L34" s="57" t="s">
        <v>62</v>
      </c>
      <c r="M34" s="59">
        <v>0.2</v>
      </c>
      <c r="N34" s="50"/>
      <c r="P34" s="37" t="s">
        <v>13</v>
      </c>
      <c r="Q34" s="38"/>
      <c r="R34" s="41"/>
      <c r="S34" s="35"/>
      <c r="T34" s="36"/>
    </row>
    <row r="35" spans="2:1029" s="6" customFormat="1" ht="19.95" customHeight="1" x14ac:dyDescent="0.3">
      <c r="B35" s="60"/>
      <c r="C35" s="61"/>
      <c r="D35" s="62"/>
      <c r="E35" s="55"/>
      <c r="F35" s="56" t="s">
        <v>63</v>
      </c>
      <c r="G35" s="38"/>
      <c r="H35" s="39"/>
      <c r="I35" s="35"/>
      <c r="J35" s="36"/>
      <c r="L35" s="60"/>
      <c r="M35" s="61"/>
      <c r="N35" s="62"/>
      <c r="P35" s="63" t="s">
        <v>63</v>
      </c>
      <c r="Q35" s="64"/>
      <c r="R35" s="65"/>
      <c r="S35" s="35"/>
      <c r="T35" s="36"/>
    </row>
    <row r="36" spans="2:1029" s="6" customFormat="1" ht="16.95" customHeight="1" x14ac:dyDescent="0.3">
      <c r="F36" s="30"/>
      <c r="G36" s="30"/>
      <c r="H36" s="66"/>
      <c r="I36" s="36"/>
      <c r="J36" s="36"/>
      <c r="P36" s="30"/>
      <c r="Q36" s="30"/>
      <c r="R36" s="66"/>
      <c r="S36" s="36"/>
      <c r="T36" s="36"/>
    </row>
    <row r="40" spans="2:1029" s="3" customFormat="1" ht="32.4" customHeight="1" x14ac:dyDescent="0.35">
      <c r="B40" s="1" t="s">
        <v>64</v>
      </c>
      <c r="C40" s="1"/>
      <c r="D40" s="1"/>
      <c r="E40" s="1"/>
      <c r="F40" s="1"/>
      <c r="G40" s="2" t="s">
        <v>1</v>
      </c>
      <c r="H40" s="1"/>
      <c r="I40" s="1"/>
      <c r="J40" s="1"/>
      <c r="L40" s="67" t="s">
        <v>65</v>
      </c>
      <c r="M40" s="67"/>
      <c r="N40" s="67"/>
      <c r="O40" s="67"/>
      <c r="P40" s="67"/>
      <c r="Q40" s="68" t="s">
        <v>1</v>
      </c>
      <c r="R40" s="67"/>
      <c r="S40" s="69"/>
      <c r="T40" s="1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4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  <c r="AMK40" s="4"/>
      <c r="AML40" s="4"/>
      <c r="AMM40" s="4"/>
      <c r="AMN40" s="4"/>
      <c r="AMO40" s="4"/>
    </row>
    <row r="41" spans="2:1029" ht="16.95" customHeight="1" x14ac:dyDescent="0.3">
      <c r="B41" s="89" t="s">
        <v>3</v>
      </c>
      <c r="C41" s="89"/>
      <c r="D41" s="89"/>
      <c r="E41" s="89"/>
      <c r="F41" s="89"/>
      <c r="G41" s="89"/>
      <c r="H41" s="89"/>
      <c r="I41" s="89"/>
      <c r="J41" s="89"/>
      <c r="L41" s="90" t="s">
        <v>3</v>
      </c>
      <c r="M41" s="91"/>
      <c r="N41" s="91"/>
      <c r="O41" s="91"/>
      <c r="P41" s="91"/>
      <c r="Q41" s="91"/>
      <c r="R41" s="91"/>
      <c r="S41" s="91"/>
      <c r="T41" s="91"/>
    </row>
    <row r="42" spans="2:1029" s="6" customFormat="1" ht="49.2" customHeight="1" x14ac:dyDescent="0.3">
      <c r="B42" s="92" t="s">
        <v>66</v>
      </c>
      <c r="C42" s="93"/>
      <c r="D42" s="93"/>
      <c r="E42" s="93"/>
      <c r="F42" s="93"/>
      <c r="G42" s="93"/>
      <c r="H42" s="93"/>
      <c r="I42" s="93"/>
      <c r="J42" s="94"/>
      <c r="L42" s="95" t="s">
        <v>67</v>
      </c>
      <c r="M42" s="96"/>
      <c r="N42" s="96"/>
      <c r="O42" s="96"/>
      <c r="P42" s="96"/>
      <c r="Q42" s="96"/>
      <c r="R42" s="96"/>
      <c r="S42" s="96"/>
      <c r="T42" s="97"/>
    </row>
    <row r="43" spans="2:1029" ht="14.1" customHeight="1" x14ac:dyDescent="0.3">
      <c r="L43" s="98"/>
      <c r="M43" s="99"/>
      <c r="N43" s="99"/>
      <c r="O43" s="99"/>
      <c r="P43" s="99"/>
      <c r="Q43" s="99"/>
      <c r="R43" s="99"/>
      <c r="S43" s="99"/>
      <c r="T43" s="100"/>
    </row>
    <row r="44" spans="2:1029" ht="16.95" customHeight="1" x14ac:dyDescent="0.3">
      <c r="B44" s="89" t="s">
        <v>6</v>
      </c>
      <c r="C44" s="89"/>
      <c r="D44" s="89"/>
      <c r="E44" s="89"/>
      <c r="F44" s="89"/>
      <c r="G44" s="89"/>
      <c r="H44" s="89"/>
      <c r="I44" s="89"/>
      <c r="J44" s="89"/>
      <c r="L44" s="90" t="s">
        <v>6</v>
      </c>
      <c r="M44" s="91"/>
      <c r="N44" s="91"/>
      <c r="O44" s="91"/>
      <c r="P44" s="91"/>
      <c r="Q44" s="91"/>
      <c r="R44" s="91"/>
      <c r="S44" s="91"/>
      <c r="T44" s="91"/>
    </row>
    <row r="45" spans="2:1029" s="14" customFormat="1" ht="41.4" customHeight="1" x14ac:dyDescent="0.3">
      <c r="B45" s="83" t="s">
        <v>7</v>
      </c>
      <c r="C45" s="84"/>
      <c r="D45" s="85"/>
      <c r="E45" s="9" t="s">
        <v>8</v>
      </c>
      <c r="F45" s="10" t="s">
        <v>9</v>
      </c>
      <c r="G45" s="11" t="s">
        <v>10</v>
      </c>
      <c r="H45" s="10" t="s">
        <v>11</v>
      </c>
      <c r="I45" s="10" t="s">
        <v>12</v>
      </c>
      <c r="J45" s="13" t="s">
        <v>13</v>
      </c>
      <c r="L45" s="86" t="s">
        <v>7</v>
      </c>
      <c r="M45" s="87"/>
      <c r="N45" s="88"/>
      <c r="O45" s="70" t="s">
        <v>8</v>
      </c>
      <c r="P45" s="17" t="s">
        <v>9</v>
      </c>
      <c r="Q45" s="20" t="s">
        <v>68</v>
      </c>
      <c r="R45" s="17" t="s">
        <v>11</v>
      </c>
      <c r="S45" s="18" t="s">
        <v>12</v>
      </c>
      <c r="T45" s="71" t="s">
        <v>13</v>
      </c>
    </row>
    <row r="46" spans="2:1029" s="8" customFormat="1" ht="25.2" customHeight="1" x14ac:dyDescent="0.3">
      <c r="B46" s="77" t="s">
        <v>69</v>
      </c>
      <c r="C46" s="78"/>
      <c r="D46" s="79"/>
      <c r="E46" s="7">
        <v>52</v>
      </c>
      <c r="F46" s="15">
        <v>26.46</v>
      </c>
      <c r="G46" s="21">
        <v>0.11</v>
      </c>
      <c r="H46" s="17"/>
      <c r="I46" s="17"/>
      <c r="J46" s="19">
        <v>2</v>
      </c>
      <c r="L46" s="77" t="s">
        <v>70</v>
      </c>
      <c r="M46" s="78"/>
      <c r="N46" s="79"/>
      <c r="O46" s="20">
        <v>180</v>
      </c>
      <c r="P46" s="15">
        <v>4.59</v>
      </c>
      <c r="Q46" s="21">
        <v>0.16</v>
      </c>
      <c r="R46" s="17"/>
      <c r="S46" s="17"/>
      <c r="T46" s="19">
        <v>1</v>
      </c>
    </row>
    <row r="47" spans="2:1029" s="8" customFormat="1" ht="25.2" customHeight="1" x14ac:dyDescent="0.3">
      <c r="B47" s="77" t="s">
        <v>71</v>
      </c>
      <c r="C47" s="78"/>
      <c r="D47" s="79"/>
      <c r="E47" s="7">
        <v>120</v>
      </c>
      <c r="F47" s="15">
        <v>13.23</v>
      </c>
      <c r="G47" s="21">
        <v>0.2</v>
      </c>
      <c r="H47" s="17"/>
      <c r="I47" s="17"/>
      <c r="J47" s="19">
        <v>2</v>
      </c>
      <c r="L47" s="77" t="s">
        <v>72</v>
      </c>
      <c r="M47" s="78"/>
      <c r="N47" s="79"/>
      <c r="O47" s="20">
        <f>E47+25</f>
        <v>145</v>
      </c>
      <c r="P47" s="15">
        <v>4.59</v>
      </c>
      <c r="Q47" s="21">
        <v>0.19</v>
      </c>
      <c r="R47" s="17"/>
      <c r="S47" s="17"/>
      <c r="T47" s="19">
        <v>1</v>
      </c>
    </row>
    <row r="48" spans="2:1029" s="8" customFormat="1" ht="25.2" customHeight="1" x14ac:dyDescent="0.3">
      <c r="B48" s="77" t="s">
        <v>73</v>
      </c>
      <c r="C48" s="78"/>
      <c r="D48" s="79"/>
      <c r="E48" s="7">
        <v>46</v>
      </c>
      <c r="F48" s="15">
        <v>15.19</v>
      </c>
      <c r="G48" s="21">
        <v>0.05</v>
      </c>
      <c r="H48" s="17"/>
      <c r="I48" s="17"/>
      <c r="J48" s="19">
        <v>2</v>
      </c>
      <c r="L48" s="77" t="s">
        <v>74</v>
      </c>
      <c r="M48" s="78"/>
      <c r="N48" s="79"/>
      <c r="O48" s="20">
        <f>E48-33</f>
        <v>13</v>
      </c>
      <c r="P48" s="72">
        <v>4.59</v>
      </c>
      <c r="Q48" s="21"/>
      <c r="R48" s="73"/>
      <c r="S48" s="73"/>
      <c r="T48" s="19">
        <v>1</v>
      </c>
    </row>
    <row r="49" spans="2:20" s="8" customFormat="1" ht="25.2" customHeight="1" x14ac:dyDescent="0.3">
      <c r="B49" s="77" t="s">
        <v>75</v>
      </c>
      <c r="C49" s="78"/>
      <c r="D49" s="79"/>
      <c r="E49" s="7">
        <v>80</v>
      </c>
      <c r="F49" s="15">
        <v>9.86</v>
      </c>
      <c r="G49" s="21">
        <v>0.05</v>
      </c>
      <c r="H49" s="17"/>
      <c r="I49" s="17"/>
      <c r="J49" s="19">
        <v>2</v>
      </c>
      <c r="L49" s="77" t="s">
        <v>76</v>
      </c>
      <c r="M49" s="78"/>
      <c r="N49" s="79"/>
      <c r="O49" s="20">
        <f t="shared" ref="O49" si="15">E49-10</f>
        <v>70</v>
      </c>
      <c r="P49" s="72">
        <v>4.59</v>
      </c>
      <c r="Q49" s="21"/>
      <c r="R49" s="73"/>
      <c r="S49" s="73"/>
      <c r="T49" s="19">
        <v>1</v>
      </c>
    </row>
    <row r="50" spans="2:20" s="8" customFormat="1" ht="25.2" customHeight="1" x14ac:dyDescent="0.3">
      <c r="B50" s="77" t="s">
        <v>77</v>
      </c>
      <c r="C50" s="78"/>
      <c r="D50" s="79"/>
      <c r="E50" s="7">
        <v>90</v>
      </c>
      <c r="F50" s="15">
        <v>12.29</v>
      </c>
      <c r="G50" s="21"/>
      <c r="H50" s="17"/>
      <c r="I50" s="17"/>
      <c r="J50" s="19">
        <v>2</v>
      </c>
      <c r="L50" s="77" t="s">
        <v>78</v>
      </c>
      <c r="M50" s="78"/>
      <c r="N50" s="79"/>
      <c r="O50" s="20">
        <f t="shared" ref="O50" si="16">E50+25</f>
        <v>115</v>
      </c>
      <c r="P50" s="15">
        <v>5.13</v>
      </c>
      <c r="Q50" s="21">
        <v>0.12</v>
      </c>
      <c r="R50" s="17"/>
      <c r="S50" s="17"/>
      <c r="T50" s="19">
        <v>1</v>
      </c>
    </row>
    <row r="51" spans="2:20" s="8" customFormat="1" ht="25.2" customHeight="1" x14ac:dyDescent="0.3">
      <c r="B51" s="77" t="s">
        <v>79</v>
      </c>
      <c r="C51" s="78"/>
      <c r="D51" s="79"/>
      <c r="E51" s="7">
        <v>70</v>
      </c>
      <c r="F51" s="15">
        <v>8.84</v>
      </c>
      <c r="G51" s="21"/>
      <c r="H51" s="17"/>
      <c r="I51" s="17"/>
      <c r="J51" s="19">
        <v>2</v>
      </c>
      <c r="L51" s="77" t="s">
        <v>80</v>
      </c>
      <c r="M51" s="78"/>
      <c r="N51" s="79"/>
      <c r="O51" s="20">
        <f t="shared" ref="O51" si="17">E51-33</f>
        <v>37</v>
      </c>
      <c r="P51" s="15">
        <v>26.6</v>
      </c>
      <c r="Q51" s="16"/>
      <c r="R51" s="17"/>
      <c r="S51" s="17"/>
      <c r="T51" s="19">
        <v>2</v>
      </c>
    </row>
    <row r="52" spans="2:20" s="8" customFormat="1" ht="25.2" customHeight="1" x14ac:dyDescent="0.3">
      <c r="B52" s="77" t="s">
        <v>81</v>
      </c>
      <c r="C52" s="78"/>
      <c r="D52" s="79"/>
      <c r="E52" s="7">
        <v>66</v>
      </c>
      <c r="F52" s="15">
        <v>5.2</v>
      </c>
      <c r="G52" s="21">
        <v>0.08</v>
      </c>
      <c r="H52" s="17"/>
      <c r="I52" s="17"/>
      <c r="J52" s="19">
        <v>1</v>
      </c>
      <c r="L52" s="77" t="s">
        <v>82</v>
      </c>
      <c r="M52" s="78"/>
      <c r="N52" s="79"/>
      <c r="O52" s="20">
        <f t="shared" ref="O52" si="18">E52-10</f>
        <v>56</v>
      </c>
      <c r="P52" s="74">
        <v>26.8</v>
      </c>
      <c r="Q52" s="16"/>
      <c r="R52" s="20"/>
      <c r="S52" s="20"/>
      <c r="T52" s="19">
        <v>2</v>
      </c>
    </row>
    <row r="53" spans="2:20" s="8" customFormat="1" ht="25.2" customHeight="1" x14ac:dyDescent="0.3">
      <c r="B53" s="77" t="s">
        <v>83</v>
      </c>
      <c r="C53" s="78"/>
      <c r="D53" s="79"/>
      <c r="E53" s="7">
        <v>39</v>
      </c>
      <c r="F53" s="15">
        <v>2.52</v>
      </c>
      <c r="G53" s="21">
        <v>0.12</v>
      </c>
      <c r="H53" s="17"/>
      <c r="I53" s="17"/>
      <c r="J53" s="19">
        <v>1</v>
      </c>
      <c r="L53" s="77" t="s">
        <v>84</v>
      </c>
      <c r="M53" s="78"/>
      <c r="N53" s="79"/>
      <c r="O53" s="20">
        <f t="shared" ref="O53" si="19">E53+25</f>
        <v>64</v>
      </c>
      <c r="P53" s="72">
        <v>6.75</v>
      </c>
      <c r="Q53" s="16">
        <v>0.05</v>
      </c>
      <c r="R53" s="73"/>
      <c r="S53" s="73"/>
      <c r="T53" s="19">
        <v>1</v>
      </c>
    </row>
    <row r="54" spans="2:20" s="8" customFormat="1" ht="25.2" customHeight="1" x14ac:dyDescent="0.3">
      <c r="B54" s="77" t="s">
        <v>85</v>
      </c>
      <c r="C54" s="78"/>
      <c r="D54" s="79"/>
      <c r="E54" s="75">
        <v>54</v>
      </c>
      <c r="F54" s="72">
        <v>2.9</v>
      </c>
      <c r="G54" s="21">
        <v>7.0000000000000007E-2</v>
      </c>
      <c r="H54" s="73"/>
      <c r="I54" s="73"/>
      <c r="J54" s="19">
        <v>1</v>
      </c>
      <c r="L54" s="77" t="s">
        <v>86</v>
      </c>
      <c r="M54" s="78"/>
      <c r="N54" s="79"/>
      <c r="O54" s="20">
        <f t="shared" ref="O54" si="20">E54-33</f>
        <v>21</v>
      </c>
      <c r="P54" s="15">
        <v>7.36</v>
      </c>
      <c r="Q54" s="16"/>
      <c r="R54" s="17"/>
      <c r="S54" s="17"/>
      <c r="T54" s="19">
        <v>1</v>
      </c>
    </row>
    <row r="55" spans="2:20" s="8" customFormat="1" ht="25.2" customHeight="1" x14ac:dyDescent="0.3">
      <c r="B55" s="77" t="s">
        <v>87</v>
      </c>
      <c r="C55" s="78"/>
      <c r="D55" s="79"/>
      <c r="E55" s="75">
        <v>20</v>
      </c>
      <c r="F55" s="72">
        <v>4.2300000000000004</v>
      </c>
      <c r="G55" s="21"/>
      <c r="H55" s="73"/>
      <c r="I55" s="73"/>
      <c r="J55" s="19">
        <v>1</v>
      </c>
      <c r="L55" s="77" t="s">
        <v>88</v>
      </c>
      <c r="M55" s="78"/>
      <c r="N55" s="79"/>
      <c r="O55" s="20">
        <f t="shared" ref="O55" si="21">E55-10</f>
        <v>10</v>
      </c>
      <c r="P55" s="15">
        <v>17.54</v>
      </c>
      <c r="Q55" s="16"/>
      <c r="R55" s="17"/>
      <c r="S55" s="17"/>
      <c r="T55" s="19">
        <v>2</v>
      </c>
    </row>
    <row r="56" spans="2:20" s="6" customFormat="1" ht="25.2" customHeight="1" x14ac:dyDescent="0.3">
      <c r="B56" s="77" t="s">
        <v>89</v>
      </c>
      <c r="C56" s="78"/>
      <c r="D56" s="79"/>
      <c r="E56" s="10">
        <v>20</v>
      </c>
      <c r="F56" s="74">
        <v>5.54</v>
      </c>
      <c r="G56" s="21"/>
      <c r="H56" s="20"/>
      <c r="I56" s="20"/>
      <c r="J56" s="19">
        <v>1</v>
      </c>
      <c r="L56" s="77" t="s">
        <v>90</v>
      </c>
      <c r="M56" s="78"/>
      <c r="N56" s="79"/>
      <c r="O56" s="20">
        <f t="shared" ref="O56" si="22">E56+25</f>
        <v>45</v>
      </c>
      <c r="P56" s="74">
        <v>17.54</v>
      </c>
      <c r="Q56" s="16">
        <v>0.03</v>
      </c>
      <c r="R56" s="20"/>
      <c r="S56" s="20"/>
      <c r="T56" s="19">
        <v>2</v>
      </c>
    </row>
    <row r="57" spans="2:20" s="6" customFormat="1" ht="25.2" customHeight="1" x14ac:dyDescent="0.3">
      <c r="B57" s="77" t="s">
        <v>91</v>
      </c>
      <c r="C57" s="78"/>
      <c r="D57" s="79"/>
      <c r="E57" s="17">
        <v>20</v>
      </c>
      <c r="F57" s="74">
        <v>1.71</v>
      </c>
      <c r="G57" s="21"/>
      <c r="H57" s="20"/>
      <c r="I57" s="20"/>
      <c r="J57" s="19">
        <v>1</v>
      </c>
      <c r="L57" s="77" t="s">
        <v>92</v>
      </c>
      <c r="M57" s="78"/>
      <c r="N57" s="79"/>
      <c r="O57" s="20">
        <v>120</v>
      </c>
      <c r="P57" s="74">
        <v>22.14</v>
      </c>
      <c r="Q57" s="16">
        <v>0.15</v>
      </c>
      <c r="R57" s="20"/>
      <c r="S57" s="20"/>
      <c r="T57" s="19">
        <v>2</v>
      </c>
    </row>
    <row r="58" spans="2:20" s="8" customFormat="1" ht="25.2" customHeight="1" x14ac:dyDescent="0.3">
      <c r="B58" s="77" t="s">
        <v>93</v>
      </c>
      <c r="C58" s="78"/>
      <c r="D58" s="79"/>
      <c r="E58" s="75">
        <v>50</v>
      </c>
      <c r="F58" s="72">
        <v>2.9</v>
      </c>
      <c r="G58" s="21"/>
      <c r="H58" s="73"/>
      <c r="I58" s="73"/>
      <c r="J58" s="19">
        <v>1</v>
      </c>
      <c r="L58" s="77" t="s">
        <v>94</v>
      </c>
      <c r="M58" s="78"/>
      <c r="N58" s="79"/>
      <c r="O58" s="20">
        <f t="shared" ref="O58" si="23">E58-10</f>
        <v>40</v>
      </c>
      <c r="P58" s="15">
        <v>22.94</v>
      </c>
      <c r="Q58" s="16"/>
      <c r="R58" s="17"/>
      <c r="S58" s="17"/>
      <c r="T58" s="19">
        <v>2</v>
      </c>
    </row>
    <row r="59" spans="2:20" s="8" customFormat="1" ht="25.2" customHeight="1" x14ac:dyDescent="0.3">
      <c r="B59" s="77" t="s">
        <v>95</v>
      </c>
      <c r="C59" s="78"/>
      <c r="D59" s="79"/>
      <c r="E59" s="75">
        <v>55</v>
      </c>
      <c r="F59" s="72">
        <v>1.65</v>
      </c>
      <c r="G59" s="21"/>
      <c r="H59" s="73"/>
      <c r="I59" s="73"/>
      <c r="J59" s="19">
        <v>1</v>
      </c>
      <c r="L59" s="77" t="s">
        <v>96</v>
      </c>
      <c r="M59" s="78"/>
      <c r="N59" s="79"/>
      <c r="O59" s="20">
        <f t="shared" ref="O59" si="24">E59+25</f>
        <v>80</v>
      </c>
      <c r="P59" s="15">
        <v>6.3</v>
      </c>
      <c r="Q59" s="16">
        <v>7.0000000000000007E-2</v>
      </c>
      <c r="R59" s="17"/>
      <c r="S59" s="17"/>
      <c r="T59" s="19">
        <v>1</v>
      </c>
    </row>
    <row r="60" spans="2:20" s="6" customFormat="1" ht="25.2" customHeight="1" x14ac:dyDescent="0.3">
      <c r="B60" s="77" t="s">
        <v>97</v>
      </c>
      <c r="C60" s="78"/>
      <c r="D60" s="79"/>
      <c r="E60" s="10">
        <v>120</v>
      </c>
      <c r="F60" s="74">
        <v>40.22</v>
      </c>
      <c r="G60" s="21">
        <v>0.2</v>
      </c>
      <c r="H60" s="20"/>
      <c r="I60" s="20"/>
      <c r="J60" s="19">
        <v>2</v>
      </c>
      <c r="L60" s="77" t="s">
        <v>98</v>
      </c>
      <c r="M60" s="78"/>
      <c r="N60" s="79"/>
      <c r="O60" s="20">
        <f t="shared" ref="O60" si="25">E60-33</f>
        <v>87</v>
      </c>
      <c r="P60" s="72">
        <v>6.3</v>
      </c>
      <c r="Q60" s="16">
        <v>0.09</v>
      </c>
      <c r="R60" s="73"/>
      <c r="S60" s="73"/>
      <c r="T60" s="19">
        <v>1</v>
      </c>
    </row>
    <row r="61" spans="2:20" s="6" customFormat="1" ht="25.2" customHeight="1" x14ac:dyDescent="0.3">
      <c r="B61" s="77" t="s">
        <v>99</v>
      </c>
      <c r="C61" s="78"/>
      <c r="D61" s="79"/>
      <c r="E61" s="17">
        <v>80</v>
      </c>
      <c r="F61" s="74">
        <v>25.45</v>
      </c>
      <c r="G61" s="21"/>
      <c r="H61" s="20"/>
      <c r="I61" s="20"/>
      <c r="J61" s="19">
        <v>2</v>
      </c>
      <c r="L61" s="77" t="s">
        <v>100</v>
      </c>
      <c r="M61" s="78"/>
      <c r="N61" s="79"/>
      <c r="O61" s="20">
        <f t="shared" ref="O61" si="26">E61-10</f>
        <v>70</v>
      </c>
      <c r="P61" s="74">
        <v>28.42</v>
      </c>
      <c r="Q61" s="16">
        <v>0.14000000000000001</v>
      </c>
      <c r="R61" s="20"/>
      <c r="S61" s="20"/>
      <c r="T61" s="19">
        <v>2</v>
      </c>
    </row>
    <row r="62" spans="2:20" s="6" customFormat="1" ht="19.95" customHeight="1" x14ac:dyDescent="0.3">
      <c r="B62" s="29"/>
      <c r="C62" s="30"/>
      <c r="D62" s="30"/>
      <c r="E62" s="31"/>
      <c r="F62" s="32" t="s">
        <v>52</v>
      </c>
      <c r="G62" s="33"/>
      <c r="H62" s="39"/>
      <c r="I62" s="35"/>
      <c r="J62" s="36"/>
      <c r="L62" s="29"/>
      <c r="M62" s="30"/>
      <c r="N62" s="30"/>
      <c r="O62" s="20">
        <f t="shared" ref="O62" si="27">E62+25</f>
        <v>25</v>
      </c>
      <c r="P62" s="37" t="s">
        <v>52</v>
      </c>
      <c r="Q62" s="38"/>
      <c r="R62" s="39"/>
      <c r="S62" s="35"/>
      <c r="T62" s="36"/>
    </row>
    <row r="63" spans="2:20" s="6" customFormat="1" ht="19.95" customHeight="1" x14ac:dyDescent="0.3">
      <c r="B63" s="29"/>
      <c r="C63" s="30"/>
      <c r="D63" s="30"/>
      <c r="F63" s="32" t="s">
        <v>53</v>
      </c>
      <c r="G63" s="33"/>
      <c r="H63" s="41"/>
      <c r="I63" s="35"/>
      <c r="J63" s="36"/>
      <c r="L63" s="29"/>
      <c r="M63" s="30"/>
      <c r="N63" s="30"/>
      <c r="O63" s="20">
        <v>150</v>
      </c>
      <c r="P63" s="37" t="s">
        <v>53</v>
      </c>
      <c r="Q63" s="38"/>
      <c r="R63" s="42"/>
      <c r="S63" s="35"/>
      <c r="T63" s="36"/>
    </row>
    <row r="64" spans="2:20" s="6" customFormat="1" ht="19.95" customHeight="1" x14ac:dyDescent="0.3">
      <c r="B64" s="40"/>
      <c r="F64" s="32" t="s">
        <v>53</v>
      </c>
      <c r="G64" s="33"/>
      <c r="H64" s="41"/>
      <c r="I64" s="35"/>
      <c r="J64" s="36"/>
      <c r="L64" s="40"/>
      <c r="O64" s="20">
        <f t="shared" ref="O64" si="28">E64-10</f>
        <v>-10</v>
      </c>
      <c r="P64" s="37" t="s">
        <v>53</v>
      </c>
      <c r="Q64" s="38"/>
      <c r="R64" s="42"/>
      <c r="S64" s="35"/>
      <c r="T64" s="36"/>
    </row>
    <row r="65" spans="2:20" s="6" customFormat="1" ht="19.95" customHeight="1" x14ac:dyDescent="0.3">
      <c r="B65" s="80" t="s">
        <v>54</v>
      </c>
      <c r="C65" s="81"/>
      <c r="D65" s="82"/>
      <c r="F65" s="32" t="s">
        <v>55</v>
      </c>
      <c r="G65" s="33"/>
      <c r="H65" s="43"/>
      <c r="I65" s="35"/>
      <c r="J65" s="36"/>
      <c r="L65" s="80" t="s">
        <v>54</v>
      </c>
      <c r="M65" s="81"/>
      <c r="N65" s="82"/>
      <c r="P65" s="37" t="s">
        <v>55</v>
      </c>
      <c r="Q65" s="38"/>
      <c r="R65" s="43"/>
      <c r="S65" s="35"/>
      <c r="T65" s="36"/>
    </row>
    <row r="66" spans="2:20" s="6" customFormat="1" ht="19.95" customHeight="1" x14ac:dyDescent="0.3">
      <c r="B66" s="44" t="s">
        <v>56</v>
      </c>
      <c r="C66" s="45" t="s">
        <v>57</v>
      </c>
      <c r="D66" s="45" t="s">
        <v>13</v>
      </c>
      <c r="E66" s="46"/>
      <c r="F66" s="47" t="s">
        <v>58</v>
      </c>
      <c r="G66" s="48" t="s">
        <v>59</v>
      </c>
      <c r="H66" s="41"/>
      <c r="I66" s="35"/>
      <c r="J66" s="36"/>
      <c r="L66" s="44" t="s">
        <v>56</v>
      </c>
      <c r="M66" s="49" t="s">
        <v>57</v>
      </c>
      <c r="N66" s="50" t="s">
        <v>13</v>
      </c>
      <c r="P66" s="37" t="s">
        <v>58</v>
      </c>
      <c r="R66" s="51" t="s">
        <v>59</v>
      </c>
      <c r="S66" s="35"/>
      <c r="T66" s="36"/>
    </row>
    <row r="67" spans="2:20" s="6" customFormat="1" ht="19.95" customHeight="1" x14ac:dyDescent="0.3">
      <c r="B67" s="52" t="s">
        <v>60</v>
      </c>
      <c r="C67" s="53">
        <v>5.5E-2</v>
      </c>
      <c r="D67" s="54"/>
      <c r="E67" s="55"/>
      <c r="F67" s="76" t="s">
        <v>61</v>
      </c>
      <c r="G67" s="33"/>
      <c r="H67" s="43"/>
      <c r="I67" s="35"/>
      <c r="J67" s="36"/>
      <c r="L67" s="52" t="s">
        <v>60</v>
      </c>
      <c r="M67" s="53">
        <v>5.5E-2</v>
      </c>
      <c r="N67" s="54"/>
      <c r="P67" s="37" t="s">
        <v>61</v>
      </c>
      <c r="Q67" s="38"/>
      <c r="R67" s="43"/>
      <c r="S67" s="35"/>
      <c r="T67" s="36"/>
    </row>
    <row r="68" spans="2:20" s="6" customFormat="1" ht="19.95" customHeight="1" x14ac:dyDescent="0.3">
      <c r="B68" s="57" t="s">
        <v>62</v>
      </c>
      <c r="C68" s="58">
        <v>0.2</v>
      </c>
      <c r="D68" s="45"/>
      <c r="E68" s="46"/>
      <c r="F68" s="47" t="s">
        <v>13</v>
      </c>
      <c r="G68" s="38"/>
      <c r="H68" s="41"/>
      <c r="I68" s="35"/>
      <c r="J68" s="36"/>
      <c r="L68" s="57" t="s">
        <v>62</v>
      </c>
      <c r="M68" s="59">
        <v>0.2</v>
      </c>
      <c r="N68" s="50"/>
      <c r="P68" s="37" t="s">
        <v>13</v>
      </c>
      <c r="Q68" s="38"/>
      <c r="R68" s="41"/>
      <c r="S68" s="35"/>
      <c r="T68" s="36"/>
    </row>
    <row r="69" spans="2:20" s="6" customFormat="1" ht="19.95" customHeight="1" x14ac:dyDescent="0.3">
      <c r="B69" s="60"/>
      <c r="C69" s="61"/>
      <c r="D69" s="62"/>
      <c r="E69" s="55"/>
      <c r="F69" s="56" t="s">
        <v>63</v>
      </c>
      <c r="G69" s="38"/>
      <c r="H69" s="39"/>
      <c r="I69" s="35"/>
      <c r="J69" s="36"/>
      <c r="L69" s="60"/>
      <c r="M69" s="61"/>
      <c r="N69" s="62"/>
      <c r="P69" s="63" t="s">
        <v>63</v>
      </c>
      <c r="Q69" s="64"/>
      <c r="R69" s="65"/>
      <c r="S69" s="35"/>
      <c r="T69" s="36"/>
    </row>
    <row r="70" spans="2:20" s="6" customFormat="1" ht="16.95" customHeight="1" x14ac:dyDescent="0.3">
      <c r="F70" s="30"/>
      <c r="G70" s="30"/>
      <c r="H70" s="66"/>
      <c r="I70" s="36"/>
      <c r="J70" s="36"/>
      <c r="P70" s="30"/>
      <c r="Q70" s="30"/>
      <c r="R70" s="66"/>
      <c r="S70" s="36"/>
      <c r="T70" s="36"/>
    </row>
    <row r="1048493" s="6" customFormat="1" ht="12.75" customHeight="1" x14ac:dyDescent="0.3"/>
    <row r="1048494" s="6" customFormat="1" ht="12.75" customHeight="1" x14ac:dyDescent="0.3"/>
    <row r="1048495" s="6" customFormat="1" ht="12.75" customHeight="1" x14ac:dyDescent="0.3"/>
    <row r="1048496" s="6" customFormat="1" ht="12.75" customHeight="1" x14ac:dyDescent="0.3"/>
    <row r="1048497" s="6" customFormat="1" ht="12.75" customHeight="1" x14ac:dyDescent="0.3"/>
    <row r="1048498" s="6" customFormat="1" ht="12.75" customHeight="1" x14ac:dyDescent="0.3"/>
    <row r="1048499" s="6" customFormat="1" ht="12.75" customHeight="1" x14ac:dyDescent="0.3"/>
    <row r="1048500" s="6" customFormat="1" ht="12.75" customHeight="1" x14ac:dyDescent="0.3"/>
    <row r="1048501" s="6" customFormat="1" ht="12.75" customHeight="1" x14ac:dyDescent="0.3"/>
    <row r="1048502" s="6" customFormat="1" ht="12.75" customHeight="1" x14ac:dyDescent="0.3"/>
    <row r="1048503" s="6" customFormat="1" ht="12.75" customHeight="1" x14ac:dyDescent="0.3"/>
    <row r="1048504" s="6" customFormat="1" ht="12.75" customHeight="1" x14ac:dyDescent="0.3"/>
    <row r="1048505" s="6" customFormat="1" ht="12.75" customHeight="1" x14ac:dyDescent="0.3"/>
    <row r="1048506" s="6" customFormat="1" ht="12.75" customHeight="1" x14ac:dyDescent="0.3"/>
    <row r="1048507" s="6" customFormat="1" ht="12.75" customHeight="1" x14ac:dyDescent="0.3"/>
    <row r="1048508" s="6" customFormat="1" ht="12.75" customHeight="1" x14ac:dyDescent="0.3"/>
    <row r="1048509" s="6" customFormat="1" ht="12.75" customHeight="1" x14ac:dyDescent="0.3"/>
    <row r="1048510" s="6" customFormat="1" ht="12.75" customHeight="1" x14ac:dyDescent="0.3"/>
    <row r="1048511" s="6" customFormat="1" ht="12.75" customHeight="1" x14ac:dyDescent="0.3"/>
    <row r="1048512" s="6" customFormat="1" ht="12.75" customHeight="1" x14ac:dyDescent="0.3"/>
    <row r="1048513" s="6" customFormat="1" ht="12.75" customHeight="1" x14ac:dyDescent="0.3"/>
    <row r="1048514" s="6" customFormat="1" ht="12.75" customHeight="1" x14ac:dyDescent="0.3"/>
    <row r="1048515" s="6" customFormat="1" ht="12.75" customHeight="1" x14ac:dyDescent="0.3"/>
    <row r="1048516" s="6" customFormat="1" ht="12.75" customHeight="1" x14ac:dyDescent="0.3"/>
    <row r="1048517" s="6" customFormat="1" ht="12.75" customHeight="1" x14ac:dyDescent="0.3"/>
    <row r="1048518" s="6" customFormat="1" ht="12.75" customHeight="1" x14ac:dyDescent="0.3"/>
    <row r="1048519" s="6" customFormat="1" ht="12.75" customHeight="1" x14ac:dyDescent="0.3"/>
    <row r="1048520" s="6" customFormat="1" ht="12.75" customHeight="1" x14ac:dyDescent="0.3"/>
    <row r="1048521" s="6" customFormat="1" ht="12.75" customHeight="1" x14ac:dyDescent="0.3"/>
    <row r="1048522" s="6" customFormat="1" ht="12.75" customHeight="1" x14ac:dyDescent="0.3"/>
    <row r="1048523" s="6" customFormat="1" ht="12.75" customHeight="1" x14ac:dyDescent="0.3"/>
    <row r="1048524" s="6" customFormat="1" ht="12.75" customHeight="1" x14ac:dyDescent="0.3"/>
    <row r="1048525" s="6" customFormat="1" ht="12.75" customHeight="1" x14ac:dyDescent="0.3"/>
    <row r="1048526" s="6" customFormat="1" ht="12.75" customHeight="1" x14ac:dyDescent="0.3"/>
    <row r="1048527" s="6" customFormat="1" ht="12.75" customHeight="1" x14ac:dyDescent="0.3"/>
    <row r="1048528" s="6" customFormat="1" ht="12.75" customHeight="1" x14ac:dyDescent="0.3"/>
    <row r="1048529" s="6" customFormat="1" ht="12.75" customHeight="1" x14ac:dyDescent="0.3"/>
    <row r="1048530" s="6" customFormat="1" ht="12.75" customHeight="1" x14ac:dyDescent="0.3"/>
    <row r="1048531" s="6" customFormat="1" ht="12.75" customHeight="1" x14ac:dyDescent="0.3"/>
    <row r="1048532" s="6" customFormat="1" ht="12.75" customHeight="1" x14ac:dyDescent="0.3"/>
    <row r="1048533" s="6" customFormat="1" ht="12.75" customHeight="1" x14ac:dyDescent="0.3"/>
    <row r="1048534" s="6" customFormat="1" ht="12.75" customHeight="1" x14ac:dyDescent="0.3"/>
    <row r="1048535" s="6" customFormat="1" ht="12.75" customHeight="1" x14ac:dyDescent="0.3"/>
    <row r="1048536" s="6" customFormat="1" ht="12.75" customHeight="1" x14ac:dyDescent="0.3"/>
    <row r="1048537" s="6" customFormat="1" ht="12.75" customHeight="1" x14ac:dyDescent="0.3"/>
    <row r="1048538" s="6" customFormat="1" ht="12.75" customHeight="1" x14ac:dyDescent="0.3"/>
    <row r="1048539" s="6" customFormat="1" ht="12.75" customHeight="1" x14ac:dyDescent="0.3"/>
    <row r="1048540" s="6" customFormat="1" ht="12.75" customHeight="1" x14ac:dyDescent="0.3"/>
    <row r="1048541" s="6" customFormat="1" ht="12.75" customHeight="1" x14ac:dyDescent="0.3"/>
    <row r="1048542" s="6" customFormat="1" ht="12.75" customHeight="1" x14ac:dyDescent="0.3"/>
    <row r="1048543" s="6" customFormat="1" ht="12.75" customHeight="1" x14ac:dyDescent="0.3"/>
    <row r="1048544" s="6" customFormat="1" ht="12.75" customHeight="1" x14ac:dyDescent="0.3"/>
    <row r="1048545" s="6" customFormat="1" ht="12.75" customHeight="1" x14ac:dyDescent="0.3"/>
    <row r="1048546" s="6" customFormat="1" ht="12.75" customHeight="1" x14ac:dyDescent="0.3"/>
    <row r="1048547" s="6" customFormat="1" ht="12.75" customHeight="1" x14ac:dyDescent="0.3"/>
    <row r="1048548" s="6" customFormat="1" ht="12.75" customHeight="1" x14ac:dyDescent="0.3"/>
    <row r="1048549" s="6" customFormat="1" ht="12.75" customHeight="1" x14ac:dyDescent="0.3"/>
    <row r="1048550" s="6" customFormat="1" ht="12.75" customHeight="1" x14ac:dyDescent="0.3"/>
    <row r="1048551" s="6" customFormat="1" ht="12.75" customHeight="1" x14ac:dyDescent="0.3"/>
    <row r="1048552" s="6" customFormat="1" ht="12.75" customHeight="1" x14ac:dyDescent="0.3"/>
    <row r="1048553" s="6" customFormat="1" ht="12.75" customHeight="1" x14ac:dyDescent="0.3"/>
    <row r="1048554" s="6" customFormat="1" ht="12.75" customHeight="1" x14ac:dyDescent="0.3"/>
    <row r="1048555" s="6" customFormat="1" ht="12.75" customHeight="1" x14ac:dyDescent="0.3"/>
    <row r="1048556" s="6" customFormat="1" ht="12.75" customHeight="1" x14ac:dyDescent="0.3"/>
    <row r="1048557" s="6" customFormat="1" ht="12.75" customHeight="1" x14ac:dyDescent="0.3"/>
    <row r="1048558" s="6" customFormat="1" ht="12.75" customHeight="1" x14ac:dyDescent="0.3"/>
    <row r="1048559" s="6" customFormat="1" ht="12.75" customHeight="1" x14ac:dyDescent="0.3"/>
    <row r="1048560" s="6" customFormat="1" ht="12.75" customHeight="1" x14ac:dyDescent="0.3"/>
    <row r="1048561" s="6" customFormat="1" ht="12.75" customHeight="1" x14ac:dyDescent="0.3"/>
    <row r="1048562" s="6" customFormat="1" ht="12.75" customHeight="1" x14ac:dyDescent="0.3"/>
    <row r="1048563" s="6" customFormat="1" ht="12.75" customHeight="1" x14ac:dyDescent="0.3"/>
  </sheetData>
  <mergeCells count="90">
    <mergeCell ref="B4:J4"/>
    <mergeCell ref="L4:T4"/>
    <mergeCell ref="B5:J5"/>
    <mergeCell ref="L5:T5"/>
    <mergeCell ref="B7:J7"/>
    <mergeCell ref="L7:T7"/>
    <mergeCell ref="B8:D8"/>
    <mergeCell ref="L8:N8"/>
    <mergeCell ref="B9:D9"/>
    <mergeCell ref="L9:N9"/>
    <mergeCell ref="B10:D10"/>
    <mergeCell ref="L10:N10"/>
    <mergeCell ref="B11:D11"/>
    <mergeCell ref="L11:N11"/>
    <mergeCell ref="B12:D12"/>
    <mergeCell ref="L12:N12"/>
    <mergeCell ref="B13:D13"/>
    <mergeCell ref="L13:N13"/>
    <mergeCell ref="B14:D14"/>
    <mergeCell ref="L14:N14"/>
    <mergeCell ref="B15:D15"/>
    <mergeCell ref="L15:N15"/>
    <mergeCell ref="B16:D16"/>
    <mergeCell ref="L16:N16"/>
    <mergeCell ref="B17:D17"/>
    <mergeCell ref="L17:N17"/>
    <mergeCell ref="B18:D18"/>
    <mergeCell ref="L18:N18"/>
    <mergeCell ref="B19:D19"/>
    <mergeCell ref="L19:N19"/>
    <mergeCell ref="B20:D20"/>
    <mergeCell ref="L20:N20"/>
    <mergeCell ref="B21:D21"/>
    <mergeCell ref="L21:N21"/>
    <mergeCell ref="B22:D22"/>
    <mergeCell ref="L22:N22"/>
    <mergeCell ref="B23:D23"/>
    <mergeCell ref="L23:N23"/>
    <mergeCell ref="B24:D24"/>
    <mergeCell ref="L24:N24"/>
    <mergeCell ref="B25:D25"/>
    <mergeCell ref="L25:N25"/>
    <mergeCell ref="B26:D26"/>
    <mergeCell ref="L26:N26"/>
    <mergeCell ref="B27:D27"/>
    <mergeCell ref="L27:N27"/>
    <mergeCell ref="B31:D31"/>
    <mergeCell ref="L31:N31"/>
    <mergeCell ref="B41:J41"/>
    <mergeCell ref="L41:T41"/>
    <mergeCell ref="B42:J42"/>
    <mergeCell ref="L42:T43"/>
    <mergeCell ref="B44:J44"/>
    <mergeCell ref="L44:T44"/>
    <mergeCell ref="B45:D45"/>
    <mergeCell ref="L45:N45"/>
    <mergeCell ref="B46:D46"/>
    <mergeCell ref="L46:N46"/>
    <mergeCell ref="B47:D47"/>
    <mergeCell ref="L47:N47"/>
    <mergeCell ref="B48:D48"/>
    <mergeCell ref="L48:N48"/>
    <mergeCell ref="B49:D49"/>
    <mergeCell ref="L49:N49"/>
    <mergeCell ref="B50:D50"/>
    <mergeCell ref="L50:N50"/>
    <mergeCell ref="B51:D51"/>
    <mergeCell ref="L51:N51"/>
    <mergeCell ref="B52:D52"/>
    <mergeCell ref="L52:N52"/>
    <mergeCell ref="B53:D53"/>
    <mergeCell ref="L53:N53"/>
    <mergeCell ref="B54:D54"/>
    <mergeCell ref="L54:N54"/>
    <mergeCell ref="B55:D55"/>
    <mergeCell ref="L55:N55"/>
    <mergeCell ref="B56:D56"/>
    <mergeCell ref="L56:N56"/>
    <mergeCell ref="B57:D57"/>
    <mergeCell ref="L57:N57"/>
    <mergeCell ref="B58:D58"/>
    <mergeCell ref="L58:N58"/>
    <mergeCell ref="B59:D59"/>
    <mergeCell ref="L59:N59"/>
    <mergeCell ref="B60:D60"/>
    <mergeCell ref="L60:N60"/>
    <mergeCell ref="B61:D61"/>
    <mergeCell ref="L61:N61"/>
    <mergeCell ref="B65:D65"/>
    <mergeCell ref="L65:N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DOUCET</dc:creator>
  <cp:lastModifiedBy>Nelly DOUCET</cp:lastModifiedBy>
  <dcterms:created xsi:type="dcterms:W3CDTF">2024-04-04T13:14:24Z</dcterms:created>
  <dcterms:modified xsi:type="dcterms:W3CDTF">2026-01-20T13:55:18Z</dcterms:modified>
</cp:coreProperties>
</file>