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ellydoucet\Documents\02. SECRETAIRE COMPTABLE\02. ADMINISTRATION DES VENTES\2023\01. ADMINISTRATION DES VENTES\SC2024\"/>
    </mc:Choice>
  </mc:AlternateContent>
  <xr:revisionPtr revIDLastSave="0" documentId="8_{D9D383AA-420D-416B-A2D6-0E437774B251}" xr6:coauthVersionLast="47" xr6:coauthVersionMax="47" xr10:uidLastSave="{00000000-0000-0000-0000-000000000000}"/>
  <bookViews>
    <workbookView xWindow="-120" yWindow="-120" windowWidth="20730" windowHeight="11160" xr2:uid="{31AA7DA7-77DF-4F79-B56E-8A56121FEEEC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2" i="1" l="1"/>
  <c r="U37" i="1"/>
  <c r="V37" i="1" s="1"/>
  <c r="H37" i="1"/>
  <c r="I37" i="1" s="1"/>
  <c r="U36" i="1"/>
  <c r="V36" i="1" s="1"/>
  <c r="H36" i="1"/>
  <c r="I36" i="1" s="1"/>
  <c r="U35" i="1"/>
  <c r="V35" i="1" s="1"/>
  <c r="I35" i="1"/>
  <c r="V34" i="1"/>
  <c r="U34" i="1"/>
  <c r="H34" i="1"/>
  <c r="I34" i="1" s="1"/>
  <c r="I38" i="1" s="1"/>
  <c r="V33" i="1"/>
  <c r="U33" i="1"/>
  <c r="I33" i="1"/>
  <c r="O16" i="1"/>
  <c r="Q16" i="1" s="1"/>
  <c r="B16" i="1"/>
  <c r="D16" i="1" s="1"/>
  <c r="V11" i="1"/>
  <c r="I11" i="1"/>
  <c r="H11" i="1"/>
  <c r="V10" i="1"/>
  <c r="O15" i="1" s="1"/>
  <c r="Q15" i="1" s="1"/>
  <c r="I10" i="1"/>
  <c r="H10" i="1"/>
  <c r="V9" i="1"/>
  <c r="V12" i="1" s="1"/>
  <c r="I9" i="1"/>
  <c r="B15" i="1" s="1"/>
  <c r="D15" i="1" s="1"/>
  <c r="I17" i="1" s="1"/>
  <c r="H9" i="1"/>
  <c r="V8" i="1"/>
  <c r="I8" i="1"/>
  <c r="H8" i="1"/>
  <c r="V17" i="1" l="1"/>
  <c r="V18" i="1" s="1"/>
  <c r="O42" i="1"/>
  <c r="Q42" i="1" s="1"/>
  <c r="V43" i="1" s="1"/>
  <c r="J39" i="1"/>
  <c r="I40" i="1"/>
  <c r="B43" i="1"/>
  <c r="D43" i="1" s="1"/>
  <c r="I43" i="1" s="1"/>
  <c r="I12" i="1"/>
  <c r="V38" i="1"/>
  <c r="I39" i="1"/>
  <c r="I41" i="1" l="1"/>
  <c r="I42" i="1"/>
  <c r="I44" i="1" s="1"/>
  <c r="V39" i="1"/>
  <c r="V40" i="1"/>
  <c r="K13" i="1"/>
  <c r="I14" i="1" s="1"/>
  <c r="K15" i="1" l="1"/>
  <c r="I16" i="1" s="1"/>
  <c r="I18" i="1" s="1"/>
  <c r="V41" i="1"/>
  <c r="V42" i="1" s="1"/>
  <c r="V44" i="1" s="1"/>
</calcChain>
</file>

<file path=xl/sharedStrings.xml><?xml version="1.0" encoding="utf-8"?>
<sst xmlns="http://schemas.openxmlformats.org/spreadsheetml/2006/main" count="118" uniqueCount="49">
  <si>
    <t xml:space="preserve">CLIENT : BIOARTIGUES  </t>
  </si>
  <si>
    <t>N° comptable :</t>
  </si>
  <si>
    <t>CLIENT : BIOCHARTRONS</t>
  </si>
  <si>
    <t>CONDITIONS DE VENTE</t>
  </si>
  <si>
    <t>remise 7 % couches 4/9 kg et 10 % Gressins 125 gr - Remise globale de 10 % 
 Escompte de 2 %  - TVA 5,5 % Gressin - TVA de 20 % autres</t>
  </si>
  <si>
    <t>Remise 5 % couches 4-9 kg, 10% 11-25 kg et remise  6% pizza 3 fromages 350 gr
TVA 5,5 % Pizzas et 20 % sur les couches</t>
  </si>
  <si>
    <t>F A C T U R E</t>
  </si>
  <si>
    <t>LIBELLÉ</t>
  </si>
  <si>
    <t>QTÉ</t>
  </si>
  <si>
    <t>PU</t>
  </si>
  <si>
    <t>REMISE
%</t>
  </si>
  <si>
    <t>PU NET</t>
  </si>
  <si>
    <t>MONTANT</t>
  </si>
  <si>
    <t>TVA</t>
  </si>
  <si>
    <t>Gressins à l'épeautre 125 gr</t>
  </si>
  <si>
    <t>Couches bébe 4-9kg</t>
  </si>
  <si>
    <t>Gressins a l'huile d'olives 125 gr</t>
  </si>
  <si>
    <t>Couches bebe 11-25 kg</t>
  </si>
  <si>
    <t>Couches bebe 4/9 kg</t>
  </si>
  <si>
    <t>Pizza 3 fromages 150g</t>
  </si>
  <si>
    <t>Couches bebe maxi 7/18 kg</t>
  </si>
  <si>
    <t>Pizza 3 fromages 350g</t>
  </si>
  <si>
    <t>NET COMMERCIAL</t>
  </si>
  <si>
    <t>CALCUL MONTANT TVA</t>
  </si>
  <si>
    <t>Remise</t>
  </si>
  <si>
    <t>BASE</t>
  </si>
  <si>
    <t>TAUX</t>
  </si>
  <si>
    <r>
      <t>2</t>
    </r>
    <r>
      <rPr>
        <vertAlign val="superscript"/>
        <sz val="12"/>
        <color theme="1"/>
        <rFont val="Calibri"/>
        <family val="2"/>
        <scheme val="minor"/>
      </rPr>
      <t>ème</t>
    </r>
    <r>
      <rPr>
        <sz val="12"/>
        <color theme="1"/>
        <rFont val="Calibri"/>
        <family val="2"/>
        <scheme val="minor"/>
      </rPr>
      <t xml:space="preserve"> NET COMMERCIAL</t>
    </r>
  </si>
  <si>
    <t>Escompte</t>
  </si>
  <si>
    <t>NET FINANCIER</t>
  </si>
  <si>
    <t>TOTAL TTC</t>
  </si>
  <si>
    <t>Erreur</t>
  </si>
  <si>
    <t>Correction</t>
  </si>
  <si>
    <t>CLIENT : BIODIETE</t>
  </si>
  <si>
    <t>CLIENT : BIOLIVE</t>
  </si>
  <si>
    <t>Remise 10% lotion et huile de soin - Remise globale de 10 % -
 Escompte de 2 % - TVA 5,5 % Alimentation - TVA 20 % beauté - hygiène</t>
  </si>
  <si>
    <t>Remise 8% lasagne, 10% mache et 12% maïs Escompte 3 % - Remise globale 7 % 
TVA 5,5 % Alimentation - TVA 20 % beauté - hygiène</t>
  </si>
  <si>
    <t>REMISE
 %</t>
  </si>
  <si>
    <t>Lotion vivifiante homme 200 ml</t>
  </si>
  <si>
    <t>Lasagne à la bolognaise bio 350g</t>
  </si>
  <si>
    <t>Gel fixation forte homme 150 gr</t>
  </si>
  <si>
    <t>Mache</t>
  </si>
  <si>
    <t>Huile de soin amande 75 ml</t>
  </si>
  <si>
    <t>Maïs cuit sous vide x1</t>
  </si>
  <si>
    <t xml:space="preserve">Creme pour les mains 50 ml </t>
  </si>
  <si>
    <t>Mangue x 1</t>
  </si>
  <si>
    <t>Lait corporel au coing 145 ml</t>
  </si>
  <si>
    <t>Margarine omega 3 - 250 gr</t>
  </si>
  <si>
    <t xml:space="preserve">Remise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</si>
</sst>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-* #,##0.00\ _€_-;\-* #,##0.00\ _€_-;_-* &quot;-&quot;??\ _€_-;_-@_-"/>
    <numFmt numFmtId="165" formatCode="00.0%"/>
    <numFmt numFmtId="166" formatCode="00%"/>
    <numFmt numFmtId="167" formatCode="0.0%"/>
    <numFmt numFmtId="168" formatCode="_-* #,##0.00000\ _€_-;\-* #,##0.00000\ _€_-;_-* &quot;-&quot;??\ _€_-;_-@_-"/>
    <numFmt numFmtId="169" formatCode="#,##0.00000"/>
    <numFmt numFmtId="170" formatCode="_-* #,##0_-;\-* #,##0_-;_-* &quot;-&quot;??_-;_-@_-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5" tint="-0.249977111117893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5" tint="-0.249977111117893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vertAlign val="superscript"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rgb="FFED1C24"/>
      <name val="Calibri"/>
      <family val="2"/>
      <scheme val="minor"/>
    </font>
    <font>
      <sz val="12"/>
      <color theme="0" tint="-4.9989318521683403E-2"/>
      <name val="Calibri"/>
      <family val="2"/>
      <scheme val="minor"/>
    </font>
    <font>
      <b/>
      <sz val="12"/>
      <color theme="5" tint="-0.24997711111789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3">
    <xf numFmtId="0" fontId="0" fillId="0" borderId="0" xfId="0"/>
    <xf numFmtId="0" fontId="2" fillId="2" borderId="0" xfId="0" applyFont="1" applyFill="1" applyAlignment="1">
      <alignment vertical="center"/>
    </xf>
    <xf numFmtId="0" fontId="3" fillId="2" borderId="1" xfId="0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2" fillId="2" borderId="1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0" xfId="0" applyFont="1"/>
    <xf numFmtId="0" fontId="6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textRotation="255" wrapText="1"/>
    </xf>
    <xf numFmtId="0" fontId="6" fillId="0" borderId="0" xfId="0" applyFont="1" applyAlignment="1">
      <alignment vertical="center" wrapText="1"/>
    </xf>
    <xf numFmtId="0" fontId="6" fillId="0" borderId="0" xfId="0" applyFont="1" applyAlignment="1">
      <alignment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textRotation="255" wrapText="1"/>
    </xf>
    <xf numFmtId="0" fontId="6" fillId="0" borderId="3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center" wrapText="1"/>
    </xf>
    <xf numFmtId="43" fontId="6" fillId="0" borderId="18" xfId="1" applyFont="1" applyBorder="1" applyAlignment="1">
      <alignment horizontal="center" vertical="center" wrapText="1"/>
    </xf>
    <xf numFmtId="0" fontId="8" fillId="0" borderId="7" xfId="2" applyNumberFormat="1" applyFont="1" applyBorder="1" applyAlignment="1">
      <alignment horizontal="center" vertical="center"/>
    </xf>
    <xf numFmtId="164" fontId="6" fillId="0" borderId="18" xfId="0" applyNumberFormat="1" applyFont="1" applyBorder="1" applyAlignment="1">
      <alignment horizontal="center" vertical="center" wrapText="1"/>
    </xf>
    <xf numFmtId="164" fontId="6" fillId="0" borderId="19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6" fillId="0" borderId="7" xfId="0" applyFont="1" applyBorder="1" applyAlignment="1">
      <alignment horizontal="center" vertical="center" wrapText="1"/>
    </xf>
    <xf numFmtId="164" fontId="9" fillId="0" borderId="18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left" vertical="center"/>
    </xf>
    <xf numFmtId="3" fontId="6" fillId="0" borderId="11" xfId="0" applyNumberFormat="1" applyFont="1" applyBorder="1" applyAlignment="1">
      <alignment horizontal="center" vertical="center"/>
    </xf>
    <xf numFmtId="43" fontId="6" fillId="0" borderId="7" xfId="1" applyFont="1" applyBorder="1" applyAlignment="1">
      <alignment vertical="center"/>
    </xf>
    <xf numFmtId="0" fontId="6" fillId="0" borderId="4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3" fontId="6" fillId="0" borderId="7" xfId="0" applyNumberFormat="1" applyFont="1" applyBorder="1" applyAlignment="1">
      <alignment horizontal="center" vertical="center"/>
    </xf>
    <xf numFmtId="3" fontId="6" fillId="0" borderId="18" xfId="0" applyNumberFormat="1" applyFont="1" applyBorder="1" applyAlignment="1">
      <alignment horizontal="center" vertical="center"/>
    </xf>
    <xf numFmtId="164" fontId="6" fillId="0" borderId="15" xfId="0" applyNumberFormat="1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left" vertical="center" indent="1"/>
    </xf>
    <xf numFmtId="0" fontId="6" fillId="0" borderId="0" xfId="0" applyFont="1" applyAlignment="1">
      <alignment horizontal="left" vertical="center" indent="1"/>
    </xf>
    <xf numFmtId="0" fontId="6" fillId="0" borderId="15" xfId="0" applyFont="1" applyBorder="1" applyAlignment="1">
      <alignment vertical="center"/>
    </xf>
    <xf numFmtId="0" fontId="6" fillId="0" borderId="21" xfId="0" applyFont="1" applyBorder="1" applyAlignment="1">
      <alignment horizontal="left" vertical="center" indent="1"/>
    </xf>
    <xf numFmtId="0" fontId="6" fillId="0" borderId="19" xfId="0" applyFont="1" applyBorder="1" applyAlignment="1">
      <alignment horizontal="left" vertical="center" indent="1"/>
    </xf>
    <xf numFmtId="165" fontId="6" fillId="0" borderId="19" xfId="0" applyNumberFormat="1" applyFont="1" applyBorder="1" applyAlignment="1">
      <alignment horizontal="left" vertical="center" indent="1"/>
    </xf>
    <xf numFmtId="4" fontId="5" fillId="0" borderId="3" xfId="0" applyNumberFormat="1" applyFont="1" applyBorder="1" applyAlignment="1">
      <alignment horizontal="center" vertical="center"/>
    </xf>
    <xf numFmtId="165" fontId="6" fillId="0" borderId="18" xfId="0" applyNumberFormat="1" applyFont="1" applyBorder="1" applyAlignment="1">
      <alignment horizontal="left" vertical="center" indent="1"/>
    </xf>
    <xf numFmtId="4" fontId="6" fillId="0" borderId="7" xfId="0" applyNumberFormat="1" applyFont="1" applyBorder="1" applyAlignment="1">
      <alignment vertical="center"/>
    </xf>
    <xf numFmtId="4" fontId="5" fillId="0" borderId="0" xfId="0" applyNumberFormat="1" applyFont="1" applyAlignment="1">
      <alignment vertical="center"/>
    </xf>
    <xf numFmtId="0" fontId="6" fillId="2" borderId="22" xfId="0" applyFont="1" applyFill="1" applyBorder="1" applyAlignment="1">
      <alignment vertical="center"/>
    </xf>
    <xf numFmtId="0" fontId="6" fillId="2" borderId="23" xfId="0" applyFont="1" applyFill="1" applyBorder="1" applyAlignment="1">
      <alignment vertical="center"/>
    </xf>
    <xf numFmtId="0" fontId="6" fillId="2" borderId="24" xfId="0" applyFont="1" applyFill="1" applyBorder="1" applyAlignment="1">
      <alignment vertical="center"/>
    </xf>
    <xf numFmtId="9" fontId="10" fillId="0" borderId="15" xfId="2" applyFont="1" applyBorder="1" applyAlignment="1">
      <alignment horizontal="center" vertical="center"/>
    </xf>
    <xf numFmtId="9" fontId="6" fillId="0" borderId="3" xfId="2" applyFont="1" applyBorder="1" applyAlignment="1">
      <alignment horizontal="center" vertical="center"/>
    </xf>
    <xf numFmtId="4" fontId="6" fillId="0" borderId="18" xfId="0" applyNumberFormat="1" applyFont="1" applyBorder="1" applyAlignment="1">
      <alignment vertical="center"/>
    </xf>
    <xf numFmtId="4" fontId="6" fillId="0" borderId="0" xfId="0" applyNumberFormat="1" applyFont="1" applyAlignment="1">
      <alignment vertical="center"/>
    </xf>
    <xf numFmtId="165" fontId="11" fillId="0" borderId="16" xfId="0" applyNumberFormat="1" applyFont="1" applyBorder="1" applyAlignment="1">
      <alignment horizontal="center" vertical="center"/>
    </xf>
    <xf numFmtId="9" fontId="6" fillId="0" borderId="0" xfId="2" applyFont="1" applyAlignment="1">
      <alignment vertical="center"/>
    </xf>
    <xf numFmtId="0" fontId="6" fillId="3" borderId="25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166" fontId="6" fillId="0" borderId="19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0" fontId="6" fillId="3" borderId="26" xfId="0" applyFont="1" applyFill="1" applyBorder="1" applyAlignment="1">
      <alignment horizontal="center" vertical="center"/>
    </xf>
    <xf numFmtId="166" fontId="6" fillId="0" borderId="18" xfId="0" applyNumberFormat="1" applyFont="1" applyBorder="1" applyAlignment="1">
      <alignment horizontal="center" vertical="center"/>
    </xf>
    <xf numFmtId="43" fontId="5" fillId="3" borderId="27" xfId="1" applyFont="1" applyFill="1" applyBorder="1" applyAlignment="1">
      <alignment horizontal="center" vertical="center"/>
    </xf>
    <xf numFmtId="167" fontId="5" fillId="3" borderId="0" xfId="2" applyNumberFormat="1" applyFont="1" applyFill="1" applyBorder="1" applyAlignment="1">
      <alignment horizontal="center" vertical="center"/>
    </xf>
    <xf numFmtId="43" fontId="5" fillId="3" borderId="28" xfId="1" applyFont="1" applyFill="1" applyBorder="1" applyAlignment="1">
      <alignment horizontal="center" vertical="center"/>
    </xf>
    <xf numFmtId="0" fontId="6" fillId="4" borderId="25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 vertical="center"/>
    </xf>
    <xf numFmtId="165" fontId="10" fillId="0" borderId="19" xfId="0" applyNumberFormat="1" applyFont="1" applyBorder="1" applyAlignment="1">
      <alignment horizontal="center" vertical="center"/>
    </xf>
    <xf numFmtId="164" fontId="8" fillId="3" borderId="27" xfId="0" applyNumberFormat="1" applyFont="1" applyFill="1" applyBorder="1" applyAlignment="1">
      <alignment vertical="center"/>
    </xf>
    <xf numFmtId="167" fontId="13" fillId="3" borderId="0" xfId="2" applyNumberFormat="1" applyFont="1" applyFill="1" applyBorder="1" applyAlignment="1">
      <alignment horizontal="center" vertical="center"/>
    </xf>
    <xf numFmtId="168" fontId="8" fillId="3" borderId="28" xfId="0" applyNumberFormat="1" applyFont="1" applyFill="1" applyBorder="1" applyAlignment="1">
      <alignment vertical="center"/>
    </xf>
    <xf numFmtId="0" fontId="6" fillId="0" borderId="19" xfId="0" applyFont="1" applyBorder="1" applyAlignment="1">
      <alignment horizontal="right" vertical="center" indent="1"/>
    </xf>
    <xf numFmtId="165" fontId="11" fillId="0" borderId="18" xfId="0" applyNumberFormat="1" applyFont="1" applyBorder="1" applyAlignment="1">
      <alignment horizontal="center" vertical="center"/>
    </xf>
    <xf numFmtId="43" fontId="5" fillId="3" borderId="4" xfId="1" applyFont="1" applyFill="1" applyBorder="1" applyAlignment="1">
      <alignment horizontal="center" vertical="center"/>
    </xf>
    <xf numFmtId="9" fontId="5" fillId="3" borderId="0" xfId="2" applyFont="1" applyFill="1" applyAlignment="1">
      <alignment horizontal="center" vertical="center"/>
    </xf>
    <xf numFmtId="43" fontId="5" fillId="3" borderId="0" xfId="1" applyFont="1" applyFill="1" applyAlignment="1">
      <alignment horizontal="center" vertical="center"/>
    </xf>
    <xf numFmtId="0" fontId="6" fillId="4" borderId="0" xfId="0" applyFont="1" applyFill="1" applyAlignment="1">
      <alignment vertical="center"/>
    </xf>
    <xf numFmtId="0" fontId="6" fillId="4" borderId="21" xfId="0" applyFont="1" applyFill="1" applyBorder="1" applyAlignment="1">
      <alignment horizontal="left" vertical="center" indent="1"/>
    </xf>
    <xf numFmtId="166" fontId="5" fillId="0" borderId="19" xfId="0" applyNumberFormat="1" applyFont="1" applyBorder="1" applyAlignment="1">
      <alignment horizontal="center" vertical="center"/>
    </xf>
    <xf numFmtId="164" fontId="8" fillId="3" borderId="25" xfId="1" applyNumberFormat="1" applyFont="1" applyFill="1" applyBorder="1" applyAlignment="1">
      <alignment horizontal="center" vertical="center"/>
    </xf>
    <xf numFmtId="9" fontId="13" fillId="3" borderId="0" xfId="2" applyFont="1" applyFill="1" applyAlignment="1">
      <alignment horizontal="center" vertical="center"/>
    </xf>
    <xf numFmtId="164" fontId="8" fillId="3" borderId="26" xfId="1" applyNumberFormat="1" applyFont="1" applyFill="1" applyBorder="1" applyAlignment="1">
      <alignment horizontal="center" vertical="center"/>
    </xf>
    <xf numFmtId="0" fontId="6" fillId="3" borderId="4" xfId="0" applyFont="1" applyFill="1" applyBorder="1" applyAlignment="1">
      <alignment vertical="center"/>
    </xf>
    <xf numFmtId="167" fontId="6" fillId="3" borderId="2" xfId="2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vertical="center"/>
    </xf>
    <xf numFmtId="165" fontId="6" fillId="0" borderId="19" xfId="0" applyNumberFormat="1" applyFont="1" applyBorder="1" applyAlignment="1">
      <alignment horizontal="center" vertical="center"/>
    </xf>
    <xf numFmtId="0" fontId="6" fillId="0" borderId="27" xfId="0" applyFont="1" applyBorder="1" applyAlignment="1">
      <alignment horizontal="left" vertical="center" indent="1"/>
    </xf>
    <xf numFmtId="0" fontId="6" fillId="0" borderId="2" xfId="0" applyFont="1" applyBorder="1" applyAlignment="1">
      <alignment horizontal="left" vertical="center" indent="1"/>
    </xf>
    <xf numFmtId="165" fontId="6" fillId="0" borderId="1" xfId="0" applyNumberFormat="1" applyFont="1" applyBorder="1" applyAlignment="1">
      <alignment horizontal="left" vertical="center" indent="1"/>
    </xf>
    <xf numFmtId="0" fontId="6" fillId="0" borderId="29" xfId="0" applyFont="1" applyBorder="1" applyAlignment="1">
      <alignment horizontal="left" vertical="center" indent="1"/>
    </xf>
    <xf numFmtId="0" fontId="6" fillId="0" borderId="1" xfId="0" applyFont="1" applyBorder="1" applyAlignment="1">
      <alignment horizontal="left" vertical="center" indent="1"/>
    </xf>
    <xf numFmtId="165" fontId="6" fillId="0" borderId="11" xfId="0" applyNumberFormat="1" applyFont="1" applyBorder="1" applyAlignment="1">
      <alignment horizontal="left" vertical="center" indent="1"/>
    </xf>
    <xf numFmtId="169" fontId="5" fillId="0" borderId="7" xfId="0" applyNumberFormat="1" applyFont="1" applyBorder="1" applyAlignment="1">
      <alignment vertical="center"/>
    </xf>
    <xf numFmtId="165" fontId="6" fillId="0" borderId="0" xfId="0" applyNumberFormat="1" applyFont="1" applyAlignment="1">
      <alignment horizontal="left" vertical="center" indent="1"/>
    </xf>
    <xf numFmtId="167" fontId="6" fillId="4" borderId="0" xfId="2" applyNumberFormat="1" applyFont="1" applyFill="1" applyBorder="1" applyAlignment="1">
      <alignment horizontal="center" vertical="center"/>
    </xf>
    <xf numFmtId="169" fontId="5" fillId="0" borderId="0" xfId="0" applyNumberFormat="1" applyFont="1" applyAlignment="1">
      <alignment vertical="center"/>
    </xf>
    <xf numFmtId="165" fontId="14" fillId="0" borderId="4" xfId="0" applyNumberFormat="1" applyFont="1" applyBorder="1" applyAlignment="1">
      <alignment horizontal="center" vertical="center"/>
    </xf>
    <xf numFmtId="165" fontId="14" fillId="0" borderId="5" xfId="0" applyNumberFormat="1" applyFont="1" applyBorder="1" applyAlignment="1">
      <alignment horizontal="center" vertical="center"/>
    </xf>
    <xf numFmtId="165" fontId="14" fillId="0" borderId="6" xfId="0" applyNumberFormat="1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165" fontId="6" fillId="0" borderId="4" xfId="0" applyNumberFormat="1" applyFont="1" applyBorder="1" applyAlignment="1">
      <alignment horizontal="center" vertical="center"/>
    </xf>
    <xf numFmtId="165" fontId="6" fillId="0" borderId="5" xfId="0" applyNumberFormat="1" applyFont="1" applyBorder="1" applyAlignment="1">
      <alignment horizontal="center" vertical="center"/>
    </xf>
    <xf numFmtId="165" fontId="6" fillId="0" borderId="6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170" fontId="8" fillId="0" borderId="7" xfId="1" applyNumberFormat="1" applyFont="1" applyBorder="1" applyAlignment="1">
      <alignment horizontal="center" vertical="center"/>
    </xf>
    <xf numFmtId="164" fontId="8" fillId="0" borderId="18" xfId="0" applyNumberFormat="1" applyFont="1" applyBorder="1" applyAlignment="1">
      <alignment horizontal="center" vertical="center" wrapText="1"/>
    </xf>
    <xf numFmtId="0" fontId="15" fillId="0" borderId="7" xfId="2" applyNumberFormat="1" applyFont="1" applyBorder="1" applyAlignment="1">
      <alignment horizontal="center" vertical="center"/>
    </xf>
    <xf numFmtId="0" fontId="6" fillId="0" borderId="30" xfId="0" applyFont="1" applyBorder="1" applyAlignment="1">
      <alignment horizontal="left" vertical="center" indent="1"/>
    </xf>
    <xf numFmtId="165" fontId="8" fillId="0" borderId="18" xfId="0" applyNumberFormat="1" applyFont="1" applyBorder="1" applyAlignment="1">
      <alignment horizontal="left" vertical="center" indent="1"/>
    </xf>
    <xf numFmtId="4" fontId="8" fillId="0" borderId="17" xfId="0" applyNumberFormat="1" applyFont="1" applyBorder="1" applyAlignment="1">
      <alignment vertical="center"/>
    </xf>
    <xf numFmtId="4" fontId="9" fillId="0" borderId="0" xfId="0" applyNumberFormat="1" applyFont="1" applyAlignment="1">
      <alignment vertical="center"/>
    </xf>
    <xf numFmtId="4" fontId="8" fillId="0" borderId="7" xfId="0" applyNumberFormat="1" applyFont="1" applyBorder="1" applyAlignment="1">
      <alignment vertical="center"/>
    </xf>
    <xf numFmtId="0" fontId="6" fillId="0" borderId="8" xfId="0" applyFont="1" applyBorder="1" applyAlignment="1">
      <alignment vertical="center"/>
    </xf>
    <xf numFmtId="166" fontId="8" fillId="0" borderId="19" xfId="0" applyNumberFormat="1" applyFont="1" applyBorder="1" applyAlignment="1">
      <alignment horizontal="center" vertical="center"/>
    </xf>
    <xf numFmtId="4" fontId="8" fillId="0" borderId="3" xfId="0" applyNumberFormat="1" applyFont="1" applyBorder="1" applyAlignment="1">
      <alignment vertical="center"/>
    </xf>
    <xf numFmtId="4" fontId="10" fillId="0" borderId="0" xfId="0" applyNumberFormat="1" applyFont="1" applyAlignment="1">
      <alignment vertical="center"/>
    </xf>
    <xf numFmtId="165" fontId="8" fillId="0" borderId="16" xfId="0" applyNumberFormat="1" applyFont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/>
    </xf>
    <xf numFmtId="0" fontId="6" fillId="0" borderId="14" xfId="0" applyFont="1" applyBorder="1" applyAlignment="1">
      <alignment horizontal="left" vertical="center" indent="1"/>
    </xf>
    <xf numFmtId="0" fontId="6" fillId="0" borderId="15" xfId="0" applyFont="1" applyBorder="1" applyAlignment="1">
      <alignment horizontal="left" vertical="center" indent="1"/>
    </xf>
    <xf numFmtId="166" fontId="8" fillId="0" borderId="16" xfId="0" applyNumberFormat="1" applyFont="1" applyBorder="1" applyAlignment="1">
      <alignment horizontal="center" vertical="center"/>
    </xf>
    <xf numFmtId="4" fontId="8" fillId="0" borderId="12" xfId="0" applyNumberFormat="1" applyFont="1" applyBorder="1" applyAlignment="1">
      <alignment vertical="center"/>
    </xf>
    <xf numFmtId="166" fontId="8" fillId="0" borderId="18" xfId="0" applyNumberFormat="1" applyFont="1" applyBorder="1" applyAlignment="1">
      <alignment horizontal="center" vertical="center"/>
    </xf>
    <xf numFmtId="0" fontId="6" fillId="3" borderId="0" xfId="0" applyFont="1" applyFill="1" applyAlignment="1">
      <alignment vertical="center"/>
    </xf>
    <xf numFmtId="0" fontId="6" fillId="4" borderId="31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right" vertical="center" indent="1"/>
    </xf>
    <xf numFmtId="166" fontId="8" fillId="0" borderId="6" xfId="0" applyNumberFormat="1" applyFont="1" applyBorder="1" applyAlignment="1">
      <alignment horizontal="center" vertical="center"/>
    </xf>
    <xf numFmtId="4" fontId="8" fillId="0" borderId="18" xfId="0" applyNumberFormat="1" applyFont="1" applyBorder="1" applyAlignment="1">
      <alignment vertical="center"/>
    </xf>
    <xf numFmtId="165" fontId="8" fillId="0" borderId="18" xfId="0" applyNumberFormat="1" applyFont="1" applyBorder="1" applyAlignment="1">
      <alignment horizontal="center" vertical="center"/>
    </xf>
    <xf numFmtId="164" fontId="16" fillId="3" borderId="27" xfId="0" applyNumberFormat="1" applyFont="1" applyFill="1" applyBorder="1" applyAlignment="1">
      <alignment vertical="center"/>
    </xf>
    <xf numFmtId="164" fontId="16" fillId="3" borderId="28" xfId="0" applyNumberFormat="1" applyFont="1" applyFill="1" applyBorder="1" applyAlignment="1">
      <alignment vertical="center"/>
    </xf>
    <xf numFmtId="0" fontId="6" fillId="4" borderId="32" xfId="0" applyFont="1" applyFill="1" applyBorder="1" applyAlignment="1">
      <alignment horizontal="left" vertical="center" indent="1"/>
    </xf>
    <xf numFmtId="166" fontId="8" fillId="0" borderId="11" xfId="0" applyNumberFormat="1" applyFont="1" applyBorder="1" applyAlignment="1">
      <alignment horizontal="center" vertical="center"/>
    </xf>
    <xf numFmtId="164" fontId="8" fillId="3" borderId="28" xfId="0" applyNumberFormat="1" applyFont="1" applyFill="1" applyBorder="1" applyAlignment="1">
      <alignment vertical="center"/>
    </xf>
    <xf numFmtId="164" fontId="16" fillId="3" borderId="4" xfId="0" applyNumberFormat="1" applyFont="1" applyFill="1" applyBorder="1" applyAlignment="1">
      <alignment vertical="center"/>
    </xf>
    <xf numFmtId="0" fontId="6" fillId="4" borderId="30" xfId="0" applyFont="1" applyFill="1" applyBorder="1" applyAlignment="1">
      <alignment horizontal="center" vertical="center"/>
    </xf>
    <xf numFmtId="164" fontId="8" fillId="3" borderId="25" xfId="0" applyNumberFormat="1" applyFont="1" applyFill="1" applyBorder="1" applyAlignment="1">
      <alignment horizontal="center" vertical="center"/>
    </xf>
    <xf numFmtId="9" fontId="13" fillId="3" borderId="0" xfId="2" applyFont="1" applyFill="1" applyBorder="1" applyAlignment="1">
      <alignment horizontal="center" vertical="center"/>
    </xf>
    <xf numFmtId="0" fontId="5" fillId="4" borderId="30" xfId="0" applyFont="1" applyFill="1" applyBorder="1" applyAlignment="1">
      <alignment horizontal="left" vertical="center" indent="1"/>
    </xf>
    <xf numFmtId="0" fontId="5" fillId="0" borderId="19" xfId="0" applyFont="1" applyBorder="1" applyAlignment="1">
      <alignment horizontal="left" vertical="center" indent="1"/>
    </xf>
    <xf numFmtId="165" fontId="13" fillId="0" borderId="18" xfId="0" applyNumberFormat="1" applyFont="1" applyBorder="1" applyAlignment="1">
      <alignment horizontal="left" vertical="center" indent="1"/>
    </xf>
    <xf numFmtId="4" fontId="13" fillId="0" borderId="7" xfId="0" applyNumberFormat="1" applyFont="1" applyBorder="1" applyAlignment="1">
      <alignment vertical="center"/>
    </xf>
    <xf numFmtId="4" fontId="17" fillId="0" borderId="0" xfId="0" applyNumberFormat="1" applyFont="1" applyAlignment="1">
      <alignment vertical="center"/>
    </xf>
    <xf numFmtId="165" fontId="8" fillId="0" borderId="11" xfId="0" applyNumberFormat="1" applyFont="1" applyBorder="1" applyAlignment="1">
      <alignment horizontal="left" vertical="center" indent="1"/>
    </xf>
    <xf numFmtId="4" fontId="11" fillId="0" borderId="0" xfId="0" applyNumberFormat="1" applyFont="1" applyAlignment="1">
      <alignment vertical="center"/>
    </xf>
  </cellXfs>
  <cellStyles count="3">
    <cellStyle name="Milliers" xfId="1" builtinId="3"/>
    <cellStyle name="Normal" xfId="0" builtinId="0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733425</xdr:colOff>
      <xdr:row>25</xdr:row>
      <xdr:rowOff>0</xdr:rowOff>
    </xdr:from>
    <xdr:to>
      <xdr:col>31</xdr:col>
      <xdr:colOff>457199</xdr:colOff>
      <xdr:row>26</xdr:row>
      <xdr:rowOff>361332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DB83C7B-35E6-4C82-AFAE-46EB8681DC63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926175" y="8220075"/>
          <a:ext cx="447674" cy="532782"/>
        </a:xfrm>
        <a:prstGeom prst="rect">
          <a:avLst/>
        </a:prstGeom>
        <a:noFill/>
        <a:ln>
          <a:noFill/>
        </a:ln>
      </xdr:spPr>
    </xdr:pic>
    <xdr:clientData/>
  </xdr:twoCellAnchor>
  <xdr:oneCellAnchor>
    <xdr:from>
      <xdr:col>30</xdr:col>
      <xdr:colOff>733425</xdr:colOff>
      <xdr:row>44</xdr:row>
      <xdr:rowOff>7619</xdr:rowOff>
    </xdr:from>
    <xdr:ext cx="444341" cy="562928"/>
    <xdr:pic>
      <xdr:nvPicPr>
        <xdr:cNvPr id="3" name="Image 2">
          <a:extLst>
            <a:ext uri="{FF2B5EF4-FFF2-40B4-BE49-F238E27FC236}">
              <a16:creationId xmlns:a16="http://schemas.microsoft.com/office/drawing/2014/main" id="{4C8E7D6B-B583-4B84-8914-A46038BF547A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926175" y="13352144"/>
          <a:ext cx="444341" cy="562928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58213</xdr:colOff>
      <xdr:row>13</xdr:row>
      <xdr:rowOff>142077</xdr:rowOff>
    </xdr:from>
    <xdr:ext cx="1001233" cy="637954"/>
    <xdr:sp macro="" textlink="">
      <xdr:nvSpPr>
        <xdr:cNvPr id="4" name="ZoneTexte 3">
          <a:extLst>
            <a:ext uri="{FF2B5EF4-FFF2-40B4-BE49-F238E27FC236}">
              <a16:creationId xmlns:a16="http://schemas.microsoft.com/office/drawing/2014/main" id="{F4B1C199-3896-42B6-A850-BD5D7CF5A0CC}"/>
            </a:ext>
          </a:extLst>
        </xdr:cNvPr>
        <xdr:cNvSpPr txBox="1"/>
      </xdr:nvSpPr>
      <xdr:spPr>
        <a:xfrm>
          <a:off x="58213" y="3742527"/>
          <a:ext cx="1001233" cy="63795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fr-FR" sz="1100"/>
            <a:t>(1)</a:t>
          </a:r>
        </a:p>
        <a:p>
          <a:endParaRPr lang="fr-FR" sz="1100"/>
        </a:p>
        <a:p>
          <a:r>
            <a:rPr lang="fr-FR" sz="1100"/>
            <a:t>(2)</a:t>
          </a:r>
        </a:p>
      </xdr:txBody>
    </xdr:sp>
    <xdr:clientData/>
  </xdr:oneCellAnchor>
  <xdr:oneCellAnchor>
    <xdr:from>
      <xdr:col>13</xdr:col>
      <xdr:colOff>425302</xdr:colOff>
      <xdr:row>13</xdr:row>
      <xdr:rowOff>159488</xdr:rowOff>
    </xdr:from>
    <xdr:ext cx="1001233" cy="637954"/>
    <xdr:sp macro="" textlink="">
      <xdr:nvSpPr>
        <xdr:cNvPr id="5" name="ZoneTexte 4">
          <a:extLst>
            <a:ext uri="{FF2B5EF4-FFF2-40B4-BE49-F238E27FC236}">
              <a16:creationId xmlns:a16="http://schemas.microsoft.com/office/drawing/2014/main" id="{EBE42E9A-71A1-41B4-B1EE-90ED1CA4EE63}"/>
            </a:ext>
          </a:extLst>
        </xdr:cNvPr>
        <xdr:cNvSpPr txBox="1"/>
      </xdr:nvSpPr>
      <xdr:spPr>
        <a:xfrm>
          <a:off x="7864327" y="3759938"/>
          <a:ext cx="1001233" cy="63795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fr-FR" sz="1100"/>
            <a:t>(1)</a:t>
          </a:r>
        </a:p>
        <a:p>
          <a:endParaRPr lang="fr-FR" sz="1100"/>
        </a:p>
        <a:p>
          <a:r>
            <a:rPr lang="fr-FR" sz="1100"/>
            <a:t>(2)</a:t>
          </a:r>
        </a:p>
      </xdr:txBody>
    </xdr:sp>
    <xdr:clientData/>
  </xdr:oneCellAnchor>
  <xdr:oneCellAnchor>
    <xdr:from>
      <xdr:col>0</xdr:col>
      <xdr:colOff>44303</xdr:colOff>
      <xdr:row>40</xdr:row>
      <xdr:rowOff>186069</xdr:rowOff>
    </xdr:from>
    <xdr:ext cx="1001233" cy="637954"/>
    <xdr:sp macro="" textlink="">
      <xdr:nvSpPr>
        <xdr:cNvPr id="6" name="ZoneTexte 5">
          <a:extLst>
            <a:ext uri="{FF2B5EF4-FFF2-40B4-BE49-F238E27FC236}">
              <a16:creationId xmlns:a16="http://schemas.microsoft.com/office/drawing/2014/main" id="{D8A25816-9DE7-41A4-A1FF-F2D61BA9BCD2}"/>
            </a:ext>
          </a:extLst>
        </xdr:cNvPr>
        <xdr:cNvSpPr txBox="1"/>
      </xdr:nvSpPr>
      <xdr:spPr>
        <a:xfrm>
          <a:off x="44303" y="12539994"/>
          <a:ext cx="1001233" cy="63795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fr-FR" sz="1100"/>
            <a:t>(1)</a:t>
          </a:r>
        </a:p>
        <a:p>
          <a:endParaRPr lang="fr-FR" sz="1100"/>
        </a:p>
        <a:p>
          <a:r>
            <a:rPr lang="fr-FR" sz="1100"/>
            <a:t>(2)</a:t>
          </a:r>
        </a:p>
      </xdr:txBody>
    </xdr:sp>
    <xdr:clientData/>
  </xdr:oneCellAnchor>
  <xdr:oneCellAnchor>
    <xdr:from>
      <xdr:col>13</xdr:col>
      <xdr:colOff>442093</xdr:colOff>
      <xdr:row>40</xdr:row>
      <xdr:rowOff>165824</xdr:rowOff>
    </xdr:from>
    <xdr:ext cx="1001233" cy="637954"/>
    <xdr:sp macro="" textlink="">
      <xdr:nvSpPr>
        <xdr:cNvPr id="7" name="ZoneTexte 6">
          <a:extLst>
            <a:ext uri="{FF2B5EF4-FFF2-40B4-BE49-F238E27FC236}">
              <a16:creationId xmlns:a16="http://schemas.microsoft.com/office/drawing/2014/main" id="{E737FDCE-BFFB-4B16-B834-722B2CDE6BBB}"/>
            </a:ext>
          </a:extLst>
        </xdr:cNvPr>
        <xdr:cNvSpPr txBox="1"/>
      </xdr:nvSpPr>
      <xdr:spPr>
        <a:xfrm>
          <a:off x="7881118" y="12519749"/>
          <a:ext cx="1001233" cy="63795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fr-FR" sz="1100"/>
            <a:t>(1)</a:t>
          </a:r>
        </a:p>
        <a:p>
          <a:endParaRPr lang="fr-FR" sz="1100"/>
        </a:p>
        <a:p>
          <a:r>
            <a:rPr lang="fr-FR" sz="1100"/>
            <a:t>(2)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B454F-0B21-4808-BC5F-400E7D895E8E}">
  <dimension ref="B2:AMQ1048534"/>
  <sheetViews>
    <sheetView tabSelected="1" workbookViewId="0">
      <selection activeCell="L7" sqref="L7"/>
    </sheetView>
  </sheetViews>
  <sheetFormatPr baseColWidth="10" defaultColWidth="12.85546875" defaultRowHeight="14.1" customHeight="1" x14ac:dyDescent="0.25"/>
  <cols>
    <col min="1" max="1" width="1.42578125" style="9" customWidth="1"/>
    <col min="2" max="2" width="13.140625" style="8" customWidth="1"/>
    <col min="3" max="3" width="10.28515625" style="8" customWidth="1"/>
    <col min="4" max="4" width="8.85546875" style="8" customWidth="1"/>
    <col min="5" max="5" width="9.85546875" style="8" customWidth="1"/>
    <col min="6" max="6" width="8.85546875" style="8" customWidth="1"/>
    <col min="7" max="7" width="8.7109375" style="8" customWidth="1"/>
    <col min="8" max="8" width="12.140625" style="8" customWidth="1"/>
    <col min="9" max="9" width="13.28515625" style="8" customWidth="1"/>
    <col min="10" max="10" width="3" style="8" customWidth="1"/>
    <col min="11" max="11" width="4.85546875" style="8" hidden="1" customWidth="1"/>
    <col min="12" max="12" width="17.140625" style="8" customWidth="1"/>
    <col min="13" max="13" width="4.85546875" style="8" customWidth="1"/>
    <col min="14" max="14" width="7.140625" style="9" customWidth="1"/>
    <col min="15" max="15" width="14.85546875" style="8" customWidth="1"/>
    <col min="16" max="16" width="10.5703125" style="8" customWidth="1"/>
    <col min="17" max="17" width="13.5703125" style="8" customWidth="1"/>
    <col min="18" max="18" width="9.85546875" style="8" customWidth="1"/>
    <col min="19" max="19" width="8.85546875" style="8" customWidth="1"/>
    <col min="20" max="20" width="10" style="8" customWidth="1"/>
    <col min="21" max="22" width="14.28515625" style="8" customWidth="1"/>
    <col min="23" max="23" width="3" style="8" customWidth="1"/>
    <col min="24" max="24" width="1.42578125" style="8" customWidth="1"/>
    <col min="25" max="25" width="2.5703125" style="8" customWidth="1"/>
    <col min="26" max="26" width="1.7109375" style="8" customWidth="1"/>
    <col min="27" max="1031" width="12.28515625" style="8" customWidth="1"/>
    <col min="1032" max="16384" width="12.85546875" style="9"/>
  </cols>
  <sheetData>
    <row r="2" spans="2:1031" s="4" customFormat="1" ht="32.450000000000003" customHeight="1" x14ac:dyDescent="0.3">
      <c r="B2" s="1" t="s">
        <v>0</v>
      </c>
      <c r="C2" s="1"/>
      <c r="D2" s="1"/>
      <c r="E2" s="1"/>
      <c r="F2" s="1"/>
      <c r="G2" s="2" t="s">
        <v>1</v>
      </c>
      <c r="H2" s="1"/>
      <c r="I2" s="1"/>
      <c r="J2" s="1"/>
      <c r="K2" s="3"/>
      <c r="L2" s="3"/>
      <c r="M2" s="3"/>
      <c r="O2" s="5" t="s">
        <v>2</v>
      </c>
      <c r="P2" s="5"/>
      <c r="Q2" s="5"/>
      <c r="R2" s="5"/>
      <c r="S2" s="5"/>
      <c r="T2" s="2" t="s">
        <v>1</v>
      </c>
      <c r="U2" s="5"/>
      <c r="V2" s="6"/>
      <c r="W2" s="1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  <c r="IU2" s="3"/>
      <c r="IV2" s="3"/>
      <c r="IW2" s="3"/>
      <c r="IX2" s="3"/>
      <c r="IY2" s="3"/>
      <c r="IZ2" s="3"/>
      <c r="JA2" s="3"/>
      <c r="JB2" s="3"/>
      <c r="JC2" s="3"/>
      <c r="JD2" s="3"/>
      <c r="JE2" s="3"/>
      <c r="JF2" s="3"/>
      <c r="JG2" s="3"/>
      <c r="JH2" s="3"/>
      <c r="JI2" s="3"/>
      <c r="JJ2" s="3"/>
      <c r="JK2" s="3"/>
      <c r="JL2" s="3"/>
      <c r="JM2" s="3"/>
      <c r="JN2" s="3"/>
      <c r="JO2" s="3"/>
      <c r="JP2" s="3"/>
      <c r="JQ2" s="3"/>
      <c r="JR2" s="3"/>
      <c r="JS2" s="3"/>
      <c r="JT2" s="3"/>
      <c r="JU2" s="3"/>
      <c r="JV2" s="3"/>
      <c r="JW2" s="3"/>
      <c r="JX2" s="3"/>
      <c r="JY2" s="3"/>
      <c r="JZ2" s="3"/>
      <c r="KA2" s="3"/>
      <c r="KB2" s="3"/>
      <c r="KC2" s="3"/>
      <c r="KD2" s="3"/>
      <c r="KE2" s="3"/>
      <c r="KF2" s="3"/>
      <c r="KG2" s="3"/>
      <c r="KH2" s="3"/>
      <c r="KI2" s="3"/>
      <c r="KJ2" s="3"/>
      <c r="KK2" s="3"/>
      <c r="KL2" s="3"/>
      <c r="KM2" s="3"/>
      <c r="KN2" s="3"/>
      <c r="KO2" s="3"/>
      <c r="KP2" s="3"/>
      <c r="KQ2" s="3"/>
      <c r="KR2" s="3"/>
      <c r="KS2" s="3"/>
      <c r="KT2" s="3"/>
      <c r="KU2" s="3"/>
      <c r="KV2" s="3"/>
      <c r="KW2" s="3"/>
      <c r="KX2" s="3"/>
      <c r="KY2" s="3"/>
      <c r="KZ2" s="3"/>
      <c r="LA2" s="3"/>
      <c r="LB2" s="3"/>
      <c r="LC2" s="3"/>
      <c r="LD2" s="3"/>
      <c r="LE2" s="3"/>
      <c r="LF2" s="3"/>
      <c r="LG2" s="3"/>
      <c r="LH2" s="3"/>
      <c r="LI2" s="3"/>
      <c r="LJ2" s="3"/>
      <c r="LK2" s="3"/>
      <c r="LL2" s="3"/>
      <c r="LM2" s="3"/>
      <c r="LN2" s="3"/>
      <c r="LO2" s="3"/>
      <c r="LP2" s="3"/>
      <c r="LQ2" s="3"/>
      <c r="LR2" s="3"/>
      <c r="LS2" s="3"/>
      <c r="LT2" s="3"/>
      <c r="LU2" s="3"/>
      <c r="LV2" s="3"/>
      <c r="LW2" s="3"/>
      <c r="LX2" s="3"/>
      <c r="LY2" s="3"/>
      <c r="LZ2" s="3"/>
      <c r="MA2" s="3"/>
      <c r="MB2" s="3"/>
      <c r="MC2" s="3"/>
      <c r="MD2" s="3"/>
      <c r="ME2" s="3"/>
      <c r="MF2" s="3"/>
      <c r="MG2" s="3"/>
      <c r="MH2" s="3"/>
      <c r="MI2" s="3"/>
      <c r="MJ2" s="3"/>
      <c r="MK2" s="3"/>
      <c r="ML2" s="3"/>
      <c r="MM2" s="3"/>
      <c r="MN2" s="3"/>
      <c r="MO2" s="3"/>
      <c r="MP2" s="3"/>
      <c r="MQ2" s="3"/>
      <c r="MR2" s="3"/>
      <c r="MS2" s="3"/>
      <c r="MT2" s="3"/>
      <c r="MU2" s="3"/>
      <c r="MV2" s="3"/>
      <c r="MW2" s="3"/>
      <c r="MX2" s="3"/>
      <c r="MY2" s="3"/>
      <c r="MZ2" s="3"/>
      <c r="NA2" s="3"/>
      <c r="NB2" s="3"/>
      <c r="NC2" s="3"/>
      <c r="ND2" s="3"/>
      <c r="NE2" s="3"/>
      <c r="NF2" s="3"/>
      <c r="NG2" s="3"/>
      <c r="NH2" s="3"/>
      <c r="NI2" s="3"/>
      <c r="NJ2" s="3"/>
      <c r="NK2" s="3"/>
      <c r="NL2" s="3"/>
      <c r="NM2" s="3"/>
      <c r="NN2" s="3"/>
      <c r="NO2" s="3"/>
      <c r="NP2" s="3"/>
      <c r="NQ2" s="3"/>
      <c r="NR2" s="3"/>
      <c r="NS2" s="3"/>
      <c r="NT2" s="3"/>
      <c r="NU2" s="3"/>
      <c r="NV2" s="3"/>
      <c r="NW2" s="3"/>
      <c r="NX2" s="3"/>
      <c r="NY2" s="3"/>
      <c r="NZ2" s="3"/>
      <c r="OA2" s="3"/>
      <c r="OB2" s="3"/>
      <c r="OC2" s="3"/>
      <c r="OD2" s="3"/>
      <c r="OE2" s="3"/>
      <c r="OF2" s="3"/>
      <c r="OG2" s="3"/>
      <c r="OH2" s="3"/>
      <c r="OI2" s="3"/>
      <c r="OJ2" s="3"/>
      <c r="OK2" s="3"/>
      <c r="OL2" s="3"/>
      <c r="OM2" s="3"/>
      <c r="ON2" s="3"/>
      <c r="OO2" s="3"/>
      <c r="OP2" s="3"/>
      <c r="OQ2" s="3"/>
      <c r="OR2" s="3"/>
      <c r="OS2" s="3"/>
      <c r="OT2" s="3"/>
      <c r="OU2" s="3"/>
      <c r="OV2" s="3"/>
      <c r="OW2" s="3"/>
      <c r="OX2" s="3"/>
      <c r="OY2" s="3"/>
      <c r="OZ2" s="3"/>
      <c r="PA2" s="3"/>
      <c r="PB2" s="3"/>
      <c r="PC2" s="3"/>
      <c r="PD2" s="3"/>
      <c r="PE2" s="3"/>
      <c r="PF2" s="3"/>
      <c r="PG2" s="3"/>
      <c r="PH2" s="3"/>
      <c r="PI2" s="3"/>
      <c r="PJ2" s="3"/>
      <c r="PK2" s="3"/>
      <c r="PL2" s="3"/>
      <c r="PM2" s="3"/>
      <c r="PN2" s="3"/>
      <c r="PO2" s="3"/>
      <c r="PP2" s="3"/>
      <c r="PQ2" s="3"/>
      <c r="PR2" s="3"/>
      <c r="PS2" s="3"/>
      <c r="PT2" s="3"/>
      <c r="PU2" s="3"/>
      <c r="PV2" s="3"/>
      <c r="PW2" s="3"/>
      <c r="PX2" s="3"/>
      <c r="PY2" s="3"/>
      <c r="PZ2" s="3"/>
      <c r="QA2" s="3"/>
      <c r="QB2" s="3"/>
      <c r="QC2" s="3"/>
      <c r="QD2" s="3"/>
      <c r="QE2" s="3"/>
      <c r="QF2" s="3"/>
      <c r="QG2" s="3"/>
      <c r="QH2" s="3"/>
      <c r="QI2" s="3"/>
      <c r="QJ2" s="3"/>
      <c r="QK2" s="3"/>
      <c r="QL2" s="3"/>
      <c r="QM2" s="3"/>
      <c r="QN2" s="3"/>
      <c r="QO2" s="3"/>
      <c r="QP2" s="3"/>
      <c r="QQ2" s="3"/>
      <c r="QR2" s="3"/>
      <c r="QS2" s="3"/>
      <c r="QT2" s="3"/>
      <c r="QU2" s="3"/>
      <c r="QV2" s="3"/>
      <c r="QW2" s="3"/>
      <c r="QX2" s="3"/>
      <c r="QY2" s="3"/>
      <c r="QZ2" s="3"/>
      <c r="RA2" s="3"/>
      <c r="RB2" s="3"/>
      <c r="RC2" s="3"/>
      <c r="RD2" s="3"/>
      <c r="RE2" s="3"/>
      <c r="RF2" s="3"/>
      <c r="RG2" s="3"/>
      <c r="RH2" s="3"/>
      <c r="RI2" s="3"/>
      <c r="RJ2" s="3"/>
      <c r="RK2" s="3"/>
      <c r="RL2" s="3"/>
      <c r="RM2" s="3"/>
      <c r="RN2" s="3"/>
      <c r="RO2" s="3"/>
      <c r="RP2" s="3"/>
      <c r="RQ2" s="3"/>
      <c r="RR2" s="3"/>
      <c r="RS2" s="3"/>
      <c r="RT2" s="3"/>
      <c r="RU2" s="3"/>
      <c r="RV2" s="3"/>
      <c r="RW2" s="3"/>
      <c r="RX2" s="3"/>
      <c r="RY2" s="3"/>
      <c r="RZ2" s="3"/>
      <c r="SA2" s="3"/>
      <c r="SB2" s="3"/>
      <c r="SC2" s="3"/>
      <c r="SD2" s="3"/>
      <c r="SE2" s="3"/>
      <c r="SF2" s="3"/>
      <c r="SG2" s="3"/>
      <c r="SH2" s="3"/>
      <c r="SI2" s="3"/>
      <c r="SJ2" s="3"/>
      <c r="SK2" s="3"/>
      <c r="SL2" s="3"/>
      <c r="SM2" s="3"/>
      <c r="SN2" s="3"/>
      <c r="SO2" s="3"/>
      <c r="SP2" s="3"/>
      <c r="SQ2" s="3"/>
      <c r="SR2" s="3"/>
      <c r="SS2" s="3"/>
      <c r="ST2" s="3"/>
      <c r="SU2" s="3"/>
      <c r="SV2" s="3"/>
      <c r="SW2" s="3"/>
      <c r="SX2" s="3"/>
      <c r="SY2" s="3"/>
      <c r="SZ2" s="3"/>
      <c r="TA2" s="3"/>
      <c r="TB2" s="3"/>
      <c r="TC2" s="3"/>
      <c r="TD2" s="3"/>
      <c r="TE2" s="3"/>
      <c r="TF2" s="3"/>
      <c r="TG2" s="3"/>
      <c r="TH2" s="3"/>
      <c r="TI2" s="3"/>
      <c r="TJ2" s="3"/>
      <c r="TK2" s="3"/>
      <c r="TL2" s="3"/>
      <c r="TM2" s="3"/>
      <c r="TN2" s="3"/>
      <c r="TO2" s="3"/>
      <c r="TP2" s="3"/>
      <c r="TQ2" s="3"/>
      <c r="TR2" s="3"/>
      <c r="TS2" s="3"/>
      <c r="TT2" s="3"/>
      <c r="TU2" s="3"/>
      <c r="TV2" s="3"/>
      <c r="TW2" s="3"/>
      <c r="TX2" s="3"/>
      <c r="TY2" s="3"/>
      <c r="TZ2" s="3"/>
      <c r="UA2" s="3"/>
      <c r="UB2" s="3"/>
      <c r="UC2" s="3"/>
      <c r="UD2" s="3"/>
      <c r="UE2" s="3"/>
      <c r="UF2" s="3"/>
      <c r="UG2" s="3"/>
      <c r="UH2" s="3"/>
      <c r="UI2" s="3"/>
      <c r="UJ2" s="3"/>
      <c r="UK2" s="3"/>
      <c r="UL2" s="3"/>
      <c r="UM2" s="3"/>
      <c r="UN2" s="3"/>
      <c r="UO2" s="3"/>
      <c r="UP2" s="3"/>
      <c r="UQ2" s="3"/>
      <c r="UR2" s="3"/>
      <c r="US2" s="3"/>
      <c r="UT2" s="3"/>
      <c r="UU2" s="3"/>
      <c r="UV2" s="3"/>
      <c r="UW2" s="3"/>
      <c r="UX2" s="3"/>
      <c r="UY2" s="3"/>
      <c r="UZ2" s="3"/>
      <c r="VA2" s="3"/>
      <c r="VB2" s="3"/>
      <c r="VC2" s="3"/>
      <c r="VD2" s="3"/>
      <c r="VE2" s="3"/>
      <c r="VF2" s="3"/>
      <c r="VG2" s="3"/>
      <c r="VH2" s="3"/>
      <c r="VI2" s="3"/>
      <c r="VJ2" s="3"/>
      <c r="VK2" s="3"/>
      <c r="VL2" s="3"/>
      <c r="VM2" s="3"/>
      <c r="VN2" s="3"/>
      <c r="VO2" s="3"/>
      <c r="VP2" s="3"/>
      <c r="VQ2" s="3"/>
      <c r="VR2" s="3"/>
      <c r="VS2" s="3"/>
      <c r="VT2" s="3"/>
      <c r="VU2" s="3"/>
      <c r="VV2" s="3"/>
      <c r="VW2" s="3"/>
      <c r="VX2" s="3"/>
      <c r="VY2" s="3"/>
      <c r="VZ2" s="3"/>
      <c r="WA2" s="3"/>
      <c r="WB2" s="3"/>
      <c r="WC2" s="3"/>
      <c r="WD2" s="3"/>
      <c r="WE2" s="3"/>
      <c r="WF2" s="3"/>
      <c r="WG2" s="3"/>
      <c r="WH2" s="3"/>
      <c r="WI2" s="3"/>
      <c r="WJ2" s="3"/>
      <c r="WK2" s="3"/>
      <c r="WL2" s="3"/>
      <c r="WM2" s="3"/>
      <c r="WN2" s="3"/>
      <c r="WO2" s="3"/>
      <c r="WP2" s="3"/>
      <c r="WQ2" s="3"/>
      <c r="WR2" s="3"/>
      <c r="WS2" s="3"/>
      <c r="WT2" s="3"/>
      <c r="WU2" s="3"/>
      <c r="WV2" s="3"/>
      <c r="WW2" s="3"/>
      <c r="WX2" s="3"/>
      <c r="WY2" s="3"/>
      <c r="WZ2" s="3"/>
      <c r="XA2" s="3"/>
      <c r="XB2" s="3"/>
      <c r="XC2" s="3"/>
      <c r="XD2" s="3"/>
      <c r="XE2" s="3"/>
      <c r="XF2" s="3"/>
      <c r="XG2" s="3"/>
      <c r="XH2" s="3"/>
      <c r="XI2" s="3"/>
      <c r="XJ2" s="3"/>
      <c r="XK2" s="3"/>
      <c r="XL2" s="3"/>
      <c r="XM2" s="3"/>
      <c r="XN2" s="3"/>
      <c r="XO2" s="3"/>
      <c r="XP2" s="3"/>
      <c r="XQ2" s="3"/>
      <c r="XR2" s="3"/>
      <c r="XS2" s="3"/>
      <c r="XT2" s="3"/>
      <c r="XU2" s="3"/>
      <c r="XV2" s="3"/>
      <c r="XW2" s="3"/>
      <c r="XX2" s="3"/>
      <c r="XY2" s="3"/>
      <c r="XZ2" s="3"/>
      <c r="YA2" s="3"/>
      <c r="YB2" s="3"/>
      <c r="YC2" s="3"/>
      <c r="YD2" s="3"/>
      <c r="YE2" s="3"/>
      <c r="YF2" s="3"/>
      <c r="YG2" s="3"/>
      <c r="YH2" s="3"/>
      <c r="YI2" s="3"/>
      <c r="YJ2" s="3"/>
      <c r="YK2" s="3"/>
      <c r="YL2" s="3"/>
      <c r="YM2" s="3"/>
      <c r="YN2" s="3"/>
      <c r="YO2" s="3"/>
      <c r="YP2" s="3"/>
      <c r="YQ2" s="3"/>
      <c r="YR2" s="3"/>
      <c r="YS2" s="3"/>
      <c r="YT2" s="3"/>
      <c r="YU2" s="3"/>
      <c r="YV2" s="3"/>
      <c r="YW2" s="3"/>
      <c r="YX2" s="3"/>
      <c r="YY2" s="3"/>
      <c r="YZ2" s="3"/>
      <c r="ZA2" s="3"/>
      <c r="ZB2" s="3"/>
      <c r="ZC2" s="3"/>
      <c r="ZD2" s="3"/>
      <c r="ZE2" s="3"/>
      <c r="ZF2" s="3"/>
      <c r="ZG2" s="3"/>
      <c r="ZH2" s="3"/>
      <c r="ZI2" s="3"/>
      <c r="ZJ2" s="3"/>
      <c r="ZK2" s="3"/>
      <c r="ZL2" s="3"/>
      <c r="ZM2" s="3"/>
      <c r="ZN2" s="3"/>
      <c r="ZO2" s="3"/>
      <c r="ZP2" s="3"/>
      <c r="ZQ2" s="3"/>
      <c r="ZR2" s="3"/>
      <c r="ZS2" s="3"/>
      <c r="ZT2" s="3"/>
      <c r="ZU2" s="3"/>
      <c r="ZV2" s="3"/>
      <c r="ZW2" s="3"/>
      <c r="ZX2" s="3"/>
      <c r="ZY2" s="3"/>
      <c r="ZZ2" s="3"/>
      <c r="AAA2" s="3"/>
      <c r="AAB2" s="3"/>
      <c r="AAC2" s="3"/>
      <c r="AAD2" s="3"/>
      <c r="AAE2" s="3"/>
      <c r="AAF2" s="3"/>
      <c r="AAG2" s="3"/>
      <c r="AAH2" s="3"/>
      <c r="AAI2" s="3"/>
      <c r="AAJ2" s="3"/>
      <c r="AAK2" s="3"/>
      <c r="AAL2" s="3"/>
      <c r="AAM2" s="3"/>
      <c r="AAN2" s="3"/>
      <c r="AAO2" s="3"/>
      <c r="AAP2" s="3"/>
      <c r="AAQ2" s="3"/>
      <c r="AAR2" s="3"/>
      <c r="AAS2" s="3"/>
      <c r="AAT2" s="3"/>
      <c r="AAU2" s="3"/>
      <c r="AAV2" s="3"/>
      <c r="AAW2" s="3"/>
      <c r="AAX2" s="3"/>
      <c r="AAY2" s="3"/>
      <c r="AAZ2" s="3"/>
      <c r="ABA2" s="3"/>
      <c r="ABB2" s="3"/>
      <c r="ABC2" s="3"/>
      <c r="ABD2" s="3"/>
      <c r="ABE2" s="3"/>
      <c r="ABF2" s="3"/>
      <c r="ABG2" s="3"/>
      <c r="ABH2" s="3"/>
      <c r="ABI2" s="3"/>
      <c r="ABJ2" s="3"/>
      <c r="ABK2" s="3"/>
      <c r="ABL2" s="3"/>
      <c r="ABM2" s="3"/>
      <c r="ABN2" s="3"/>
      <c r="ABO2" s="3"/>
      <c r="ABP2" s="3"/>
      <c r="ABQ2" s="3"/>
      <c r="ABR2" s="3"/>
      <c r="ABS2" s="3"/>
      <c r="ABT2" s="3"/>
      <c r="ABU2" s="3"/>
      <c r="ABV2" s="3"/>
      <c r="ABW2" s="3"/>
      <c r="ABX2" s="3"/>
      <c r="ABY2" s="3"/>
      <c r="ABZ2" s="3"/>
      <c r="ACA2" s="3"/>
      <c r="ACB2" s="3"/>
      <c r="ACC2" s="3"/>
      <c r="ACD2" s="3"/>
      <c r="ACE2" s="3"/>
      <c r="ACF2" s="3"/>
      <c r="ACG2" s="3"/>
      <c r="ACH2" s="3"/>
      <c r="ACI2" s="3"/>
      <c r="ACJ2" s="3"/>
      <c r="ACK2" s="3"/>
      <c r="ACL2" s="3"/>
      <c r="ACM2" s="3"/>
      <c r="ACN2" s="3"/>
      <c r="ACO2" s="3"/>
      <c r="ACP2" s="3"/>
      <c r="ACQ2" s="3"/>
      <c r="ACR2" s="3"/>
      <c r="ACS2" s="3"/>
      <c r="ACT2" s="3"/>
      <c r="ACU2" s="3"/>
      <c r="ACV2" s="3"/>
      <c r="ACW2" s="3"/>
      <c r="ACX2" s="3"/>
      <c r="ACY2" s="3"/>
      <c r="ACZ2" s="3"/>
      <c r="ADA2" s="3"/>
      <c r="ADB2" s="3"/>
      <c r="ADC2" s="3"/>
      <c r="ADD2" s="3"/>
      <c r="ADE2" s="3"/>
      <c r="ADF2" s="3"/>
      <c r="ADG2" s="3"/>
      <c r="ADH2" s="3"/>
      <c r="ADI2" s="3"/>
      <c r="ADJ2" s="3"/>
      <c r="ADK2" s="3"/>
      <c r="ADL2" s="3"/>
      <c r="ADM2" s="3"/>
      <c r="ADN2" s="3"/>
      <c r="ADO2" s="3"/>
      <c r="ADP2" s="3"/>
      <c r="ADQ2" s="3"/>
      <c r="ADR2" s="3"/>
      <c r="ADS2" s="3"/>
      <c r="ADT2" s="3"/>
      <c r="ADU2" s="3"/>
      <c r="ADV2" s="3"/>
      <c r="ADW2" s="3"/>
      <c r="ADX2" s="3"/>
      <c r="ADY2" s="3"/>
      <c r="ADZ2" s="3"/>
      <c r="AEA2" s="3"/>
      <c r="AEB2" s="3"/>
      <c r="AEC2" s="3"/>
      <c r="AED2" s="3"/>
      <c r="AEE2" s="3"/>
      <c r="AEF2" s="3"/>
      <c r="AEG2" s="3"/>
      <c r="AEH2" s="3"/>
      <c r="AEI2" s="3"/>
      <c r="AEJ2" s="3"/>
      <c r="AEK2" s="3"/>
      <c r="AEL2" s="3"/>
      <c r="AEM2" s="3"/>
      <c r="AEN2" s="3"/>
      <c r="AEO2" s="3"/>
      <c r="AEP2" s="3"/>
      <c r="AEQ2" s="3"/>
      <c r="AER2" s="3"/>
      <c r="AES2" s="3"/>
      <c r="AET2" s="3"/>
      <c r="AEU2" s="3"/>
      <c r="AEV2" s="3"/>
      <c r="AEW2" s="3"/>
      <c r="AEX2" s="3"/>
      <c r="AEY2" s="3"/>
      <c r="AEZ2" s="3"/>
      <c r="AFA2" s="3"/>
      <c r="AFB2" s="3"/>
      <c r="AFC2" s="3"/>
      <c r="AFD2" s="3"/>
      <c r="AFE2" s="3"/>
      <c r="AFF2" s="3"/>
      <c r="AFG2" s="3"/>
      <c r="AFH2" s="3"/>
      <c r="AFI2" s="3"/>
      <c r="AFJ2" s="3"/>
      <c r="AFK2" s="3"/>
      <c r="AFL2" s="3"/>
      <c r="AFM2" s="3"/>
      <c r="AFN2" s="3"/>
      <c r="AFO2" s="3"/>
      <c r="AFP2" s="3"/>
      <c r="AFQ2" s="3"/>
      <c r="AFR2" s="3"/>
      <c r="AFS2" s="3"/>
      <c r="AFT2" s="3"/>
      <c r="AFU2" s="3"/>
      <c r="AFV2" s="3"/>
      <c r="AFW2" s="3"/>
      <c r="AFX2" s="3"/>
      <c r="AFY2" s="3"/>
      <c r="AFZ2" s="3"/>
      <c r="AGA2" s="3"/>
      <c r="AGB2" s="3"/>
      <c r="AGC2" s="3"/>
      <c r="AGD2" s="3"/>
      <c r="AGE2" s="3"/>
      <c r="AGF2" s="3"/>
      <c r="AGG2" s="3"/>
      <c r="AGH2" s="3"/>
      <c r="AGI2" s="3"/>
      <c r="AGJ2" s="3"/>
      <c r="AGK2" s="3"/>
      <c r="AGL2" s="3"/>
      <c r="AGM2" s="3"/>
      <c r="AGN2" s="3"/>
      <c r="AGO2" s="3"/>
      <c r="AGP2" s="3"/>
      <c r="AGQ2" s="3"/>
      <c r="AGR2" s="3"/>
      <c r="AGS2" s="3"/>
      <c r="AGT2" s="3"/>
      <c r="AGU2" s="3"/>
      <c r="AGV2" s="3"/>
      <c r="AGW2" s="3"/>
      <c r="AGX2" s="3"/>
      <c r="AGY2" s="3"/>
      <c r="AGZ2" s="3"/>
      <c r="AHA2" s="3"/>
      <c r="AHB2" s="3"/>
      <c r="AHC2" s="3"/>
      <c r="AHD2" s="3"/>
      <c r="AHE2" s="3"/>
      <c r="AHF2" s="3"/>
      <c r="AHG2" s="3"/>
      <c r="AHH2" s="3"/>
      <c r="AHI2" s="3"/>
      <c r="AHJ2" s="3"/>
      <c r="AHK2" s="3"/>
      <c r="AHL2" s="3"/>
      <c r="AHM2" s="3"/>
      <c r="AHN2" s="3"/>
      <c r="AHO2" s="3"/>
      <c r="AHP2" s="3"/>
      <c r="AHQ2" s="3"/>
      <c r="AHR2" s="3"/>
      <c r="AHS2" s="3"/>
      <c r="AHT2" s="3"/>
      <c r="AHU2" s="3"/>
      <c r="AHV2" s="3"/>
      <c r="AHW2" s="3"/>
      <c r="AHX2" s="3"/>
      <c r="AHY2" s="3"/>
      <c r="AHZ2" s="3"/>
      <c r="AIA2" s="3"/>
      <c r="AIB2" s="3"/>
      <c r="AIC2" s="3"/>
      <c r="AID2" s="3"/>
      <c r="AIE2" s="3"/>
      <c r="AIF2" s="3"/>
      <c r="AIG2" s="3"/>
      <c r="AIH2" s="3"/>
      <c r="AII2" s="3"/>
      <c r="AIJ2" s="3"/>
      <c r="AIK2" s="3"/>
      <c r="AIL2" s="3"/>
      <c r="AIM2" s="3"/>
      <c r="AIN2" s="3"/>
      <c r="AIO2" s="3"/>
      <c r="AIP2" s="3"/>
      <c r="AIQ2" s="3"/>
      <c r="AIR2" s="3"/>
      <c r="AIS2" s="3"/>
      <c r="AIT2" s="3"/>
      <c r="AIU2" s="3"/>
      <c r="AIV2" s="3"/>
      <c r="AIW2" s="3"/>
      <c r="AIX2" s="3"/>
      <c r="AIY2" s="3"/>
      <c r="AIZ2" s="3"/>
      <c r="AJA2" s="3"/>
      <c r="AJB2" s="3"/>
      <c r="AJC2" s="3"/>
      <c r="AJD2" s="3"/>
      <c r="AJE2" s="3"/>
      <c r="AJF2" s="3"/>
      <c r="AJG2" s="3"/>
      <c r="AJH2" s="3"/>
      <c r="AJI2" s="3"/>
      <c r="AJJ2" s="3"/>
      <c r="AJK2" s="3"/>
      <c r="AJL2" s="3"/>
      <c r="AJM2" s="3"/>
      <c r="AJN2" s="3"/>
      <c r="AJO2" s="3"/>
      <c r="AJP2" s="3"/>
      <c r="AJQ2" s="3"/>
      <c r="AJR2" s="3"/>
      <c r="AJS2" s="3"/>
      <c r="AJT2" s="3"/>
      <c r="AJU2" s="3"/>
      <c r="AJV2" s="3"/>
      <c r="AJW2" s="3"/>
      <c r="AJX2" s="3"/>
      <c r="AJY2" s="3"/>
      <c r="AJZ2" s="3"/>
      <c r="AKA2" s="3"/>
      <c r="AKB2" s="3"/>
      <c r="AKC2" s="3"/>
      <c r="AKD2" s="3"/>
      <c r="AKE2" s="3"/>
      <c r="AKF2" s="3"/>
      <c r="AKG2" s="3"/>
      <c r="AKH2" s="3"/>
      <c r="AKI2" s="3"/>
      <c r="AKJ2" s="3"/>
      <c r="AKK2" s="3"/>
      <c r="AKL2" s="3"/>
      <c r="AKM2" s="3"/>
      <c r="AKN2" s="3"/>
      <c r="AKO2" s="3"/>
      <c r="AKP2" s="3"/>
      <c r="AKQ2" s="3"/>
      <c r="AKR2" s="3"/>
      <c r="AKS2" s="3"/>
      <c r="AKT2" s="3"/>
      <c r="AKU2" s="3"/>
      <c r="AKV2" s="3"/>
      <c r="AKW2" s="3"/>
      <c r="AKX2" s="3"/>
      <c r="AKY2" s="3"/>
      <c r="AKZ2" s="3"/>
      <c r="ALA2" s="3"/>
      <c r="ALB2" s="3"/>
      <c r="ALC2" s="3"/>
      <c r="ALD2" s="3"/>
      <c r="ALE2" s="3"/>
      <c r="ALF2" s="3"/>
      <c r="ALG2" s="3"/>
      <c r="ALH2" s="3"/>
      <c r="ALI2" s="3"/>
      <c r="ALJ2" s="3"/>
      <c r="ALK2" s="3"/>
      <c r="ALL2" s="3"/>
      <c r="ALM2" s="3"/>
      <c r="ALN2" s="3"/>
      <c r="ALO2" s="3"/>
      <c r="ALP2" s="3"/>
      <c r="ALQ2" s="3"/>
      <c r="ALR2" s="3"/>
      <c r="ALS2" s="3"/>
      <c r="ALT2" s="3"/>
      <c r="ALU2" s="3"/>
      <c r="ALV2" s="3"/>
      <c r="ALW2" s="3"/>
      <c r="ALX2" s="3"/>
      <c r="ALY2" s="3"/>
      <c r="ALZ2" s="3"/>
      <c r="AMA2" s="3"/>
      <c r="AMB2" s="3"/>
      <c r="AMC2" s="3"/>
      <c r="AMD2" s="3"/>
      <c r="AME2" s="3"/>
      <c r="AMF2" s="3"/>
      <c r="AMG2" s="3"/>
      <c r="AMH2" s="3"/>
      <c r="AMI2" s="3"/>
      <c r="AMJ2" s="3"/>
      <c r="AMK2" s="3"/>
      <c r="AML2" s="3"/>
      <c r="AMM2" s="3"/>
      <c r="AMN2" s="3"/>
      <c r="AMO2" s="3"/>
      <c r="AMP2" s="3"/>
      <c r="AMQ2" s="3"/>
    </row>
    <row r="3" spans="2:1031" ht="16.899999999999999" customHeight="1" x14ac:dyDescent="0.25">
      <c r="B3" s="7" t="s">
        <v>3</v>
      </c>
      <c r="C3" s="7"/>
      <c r="D3" s="7"/>
      <c r="E3" s="7"/>
      <c r="F3" s="7"/>
      <c r="G3" s="7"/>
      <c r="H3" s="7"/>
      <c r="I3" s="7"/>
      <c r="J3" s="7"/>
      <c r="O3" s="7" t="s">
        <v>3</v>
      </c>
      <c r="P3" s="7"/>
      <c r="Q3" s="7"/>
      <c r="R3" s="7"/>
      <c r="S3" s="7"/>
      <c r="T3" s="7"/>
      <c r="U3" s="7"/>
      <c r="V3" s="7"/>
      <c r="W3" s="7"/>
    </row>
    <row r="4" spans="2:1031" ht="33" customHeight="1" x14ac:dyDescent="0.25">
      <c r="B4" s="10" t="s">
        <v>4</v>
      </c>
      <c r="C4" s="11"/>
      <c r="D4" s="11"/>
      <c r="E4" s="11"/>
      <c r="F4" s="11"/>
      <c r="G4" s="11"/>
      <c r="H4" s="11"/>
      <c r="I4" s="11"/>
      <c r="J4" s="12"/>
      <c r="O4" s="10" t="s">
        <v>5</v>
      </c>
      <c r="P4" s="11"/>
      <c r="Q4" s="11"/>
      <c r="R4" s="11"/>
      <c r="S4" s="11"/>
      <c r="T4" s="11"/>
      <c r="U4" s="11"/>
      <c r="V4" s="11"/>
      <c r="W4" s="12"/>
    </row>
    <row r="6" spans="2:1031" ht="16.899999999999999" customHeight="1" x14ac:dyDescent="0.25">
      <c r="B6" s="7" t="s">
        <v>6</v>
      </c>
      <c r="C6" s="7"/>
      <c r="D6" s="7"/>
      <c r="E6" s="7"/>
      <c r="F6" s="7"/>
      <c r="G6" s="7"/>
      <c r="H6" s="7"/>
      <c r="I6" s="7"/>
      <c r="J6" s="7"/>
      <c r="O6" s="13" t="s">
        <v>6</v>
      </c>
      <c r="P6" s="13"/>
      <c r="Q6" s="13"/>
      <c r="R6" s="13"/>
      <c r="S6" s="13"/>
      <c r="T6" s="13"/>
      <c r="U6" s="13"/>
      <c r="V6" s="13"/>
    </row>
    <row r="7" spans="2:1031" s="23" customFormat="1" ht="41.45" customHeight="1" x14ac:dyDescent="0.25">
      <c r="B7" s="14" t="s">
        <v>7</v>
      </c>
      <c r="C7" s="15"/>
      <c r="D7" s="16"/>
      <c r="E7" s="17" t="s">
        <v>8</v>
      </c>
      <c r="F7" s="18" t="s">
        <v>9</v>
      </c>
      <c r="G7" s="19" t="s">
        <v>10</v>
      </c>
      <c r="H7" s="18" t="s">
        <v>11</v>
      </c>
      <c r="I7" s="20" t="s">
        <v>12</v>
      </c>
      <c r="J7" s="21" t="s">
        <v>13</v>
      </c>
      <c r="K7" s="22"/>
      <c r="L7" s="22"/>
      <c r="M7" s="22"/>
      <c r="O7" s="24" t="s">
        <v>7</v>
      </c>
      <c r="P7" s="25"/>
      <c r="Q7" s="26"/>
      <c r="R7" s="27" t="s">
        <v>8</v>
      </c>
      <c r="S7" s="28" t="s">
        <v>9</v>
      </c>
      <c r="T7" s="19" t="s">
        <v>10</v>
      </c>
      <c r="U7" s="28" t="s">
        <v>11</v>
      </c>
      <c r="V7" s="29" t="s">
        <v>12</v>
      </c>
      <c r="W7" s="30" t="s">
        <v>13</v>
      </c>
    </row>
    <row r="8" spans="2:1031" s="23" customFormat="1" ht="19.899999999999999" customHeight="1" x14ac:dyDescent="0.25">
      <c r="B8" s="31" t="s">
        <v>14</v>
      </c>
      <c r="C8" s="31"/>
      <c r="D8" s="31"/>
      <c r="E8" s="32">
        <v>120</v>
      </c>
      <c r="F8" s="33">
        <v>2.46</v>
      </c>
      <c r="G8" s="34">
        <v>10</v>
      </c>
      <c r="H8" s="35">
        <f>(F8*(100-G8)/100)*E8</f>
        <v>265.68</v>
      </c>
      <c r="I8" s="36">
        <f>(F8*(100-G8)/100)*E8</f>
        <v>265.68</v>
      </c>
      <c r="J8" s="37">
        <v>1</v>
      </c>
      <c r="K8" s="22"/>
      <c r="L8" s="22"/>
      <c r="M8" s="22"/>
      <c r="O8" s="38" t="s">
        <v>15</v>
      </c>
      <c r="P8" s="39"/>
      <c r="Q8" s="40"/>
      <c r="R8" s="41">
        <v>150</v>
      </c>
      <c r="S8" s="33">
        <v>23.7</v>
      </c>
      <c r="T8" s="34">
        <v>5</v>
      </c>
      <c r="U8" s="42"/>
      <c r="V8" s="28">
        <f>(S8*(100-T8)/100)*R8</f>
        <v>3377.25</v>
      </c>
      <c r="W8" s="37">
        <v>2</v>
      </c>
    </row>
    <row r="9" spans="2:1031" s="23" customFormat="1" ht="19.899999999999999" customHeight="1" x14ac:dyDescent="0.25">
      <c r="B9" s="31" t="s">
        <v>16</v>
      </c>
      <c r="C9" s="31"/>
      <c r="D9" s="31"/>
      <c r="E9" s="32">
        <v>40</v>
      </c>
      <c r="F9" s="33">
        <v>2.46</v>
      </c>
      <c r="G9" s="34"/>
      <c r="H9" s="35">
        <f t="shared" ref="H9:H11" si="0">(F9*(100-G9)/100)*E9</f>
        <v>98.4</v>
      </c>
      <c r="I9" s="36">
        <f t="shared" ref="I9:I11" si="1">(F9*(100-G9)/100)*E9</f>
        <v>98.4</v>
      </c>
      <c r="J9" s="37">
        <v>1</v>
      </c>
      <c r="K9" s="22"/>
      <c r="L9" s="22"/>
      <c r="M9" s="22"/>
      <c r="O9" s="38" t="s">
        <v>17</v>
      </c>
      <c r="P9" s="39"/>
      <c r="Q9" s="40"/>
      <c r="R9" s="41">
        <v>50</v>
      </c>
      <c r="S9" s="33">
        <v>26.66</v>
      </c>
      <c r="T9" s="34">
        <v>10</v>
      </c>
      <c r="U9" s="42"/>
      <c r="V9" s="28">
        <f>(S9*(100-T9)/100)*R9</f>
        <v>1199.7</v>
      </c>
      <c r="W9" s="37">
        <v>2</v>
      </c>
    </row>
    <row r="10" spans="2:1031" s="8" customFormat="1" ht="19.899999999999999" customHeight="1" x14ac:dyDescent="0.25">
      <c r="B10" s="43" t="s">
        <v>18</v>
      </c>
      <c r="C10" s="43"/>
      <c r="D10" s="43"/>
      <c r="E10" s="44">
        <v>20</v>
      </c>
      <c r="F10" s="45">
        <v>26.9</v>
      </c>
      <c r="G10" s="34">
        <v>7</v>
      </c>
      <c r="H10" s="35">
        <f t="shared" si="0"/>
        <v>500.34</v>
      </c>
      <c r="I10" s="36">
        <f t="shared" si="1"/>
        <v>500.34</v>
      </c>
      <c r="J10" s="37">
        <v>2</v>
      </c>
      <c r="O10" s="46" t="s">
        <v>19</v>
      </c>
      <c r="P10" s="47"/>
      <c r="Q10" s="48"/>
      <c r="R10" s="49">
        <v>60</v>
      </c>
      <c r="S10" s="45">
        <v>4.5999999999999996</v>
      </c>
      <c r="T10" s="34"/>
      <c r="U10" s="42"/>
      <c r="V10" s="28">
        <f>(S10*(100-T10)/100)*R10</f>
        <v>276</v>
      </c>
      <c r="W10" s="37">
        <v>1</v>
      </c>
    </row>
    <row r="11" spans="2:1031" s="8" customFormat="1" ht="19.899999999999999" customHeight="1" x14ac:dyDescent="0.25">
      <c r="B11" s="43" t="s">
        <v>20</v>
      </c>
      <c r="C11" s="43"/>
      <c r="D11" s="43"/>
      <c r="E11" s="50">
        <v>35</v>
      </c>
      <c r="F11" s="45">
        <v>28.9</v>
      </c>
      <c r="G11" s="34"/>
      <c r="H11" s="35">
        <f t="shared" si="0"/>
        <v>1011.5</v>
      </c>
      <c r="I11" s="51">
        <f t="shared" si="1"/>
        <v>1011.5</v>
      </c>
      <c r="J11" s="52">
        <v>2</v>
      </c>
      <c r="O11" s="46" t="s">
        <v>21</v>
      </c>
      <c r="P11" s="47"/>
      <c r="Q11" s="48"/>
      <c r="R11" s="49">
        <v>75</v>
      </c>
      <c r="S11" s="45">
        <v>9.06</v>
      </c>
      <c r="T11" s="34">
        <v>6</v>
      </c>
      <c r="U11" s="42"/>
      <c r="V11" s="28">
        <f>(S11*(100-T11)/100)*R11</f>
        <v>638.73</v>
      </c>
      <c r="W11" s="37">
        <v>1</v>
      </c>
    </row>
    <row r="12" spans="2:1031" s="8" customFormat="1" ht="19.899999999999999" customHeight="1" x14ac:dyDescent="0.25">
      <c r="B12" s="53"/>
      <c r="C12" s="54"/>
      <c r="D12" s="54"/>
      <c r="E12" s="55"/>
      <c r="F12" s="56" t="s">
        <v>22</v>
      </c>
      <c r="G12" s="57"/>
      <c r="H12" s="58"/>
      <c r="I12" s="59">
        <f>SUM(I8:I11)</f>
        <v>1875.92</v>
      </c>
      <c r="J12" s="59"/>
      <c r="O12" s="53"/>
      <c r="P12" s="54"/>
      <c r="Q12" s="54"/>
      <c r="R12" s="55"/>
      <c r="S12" s="56" t="s">
        <v>22</v>
      </c>
      <c r="T12" s="57"/>
      <c r="U12" s="60"/>
      <c r="V12" s="61">
        <f>SUM(V8:V11)</f>
        <v>5491.68</v>
      </c>
      <c r="W12" s="62"/>
    </row>
    <row r="13" spans="2:1031" s="8" customFormat="1" ht="19.899999999999999" customHeight="1" x14ac:dyDescent="0.25">
      <c r="B13" s="63" t="s">
        <v>23</v>
      </c>
      <c r="C13" s="64"/>
      <c r="D13" s="65"/>
      <c r="F13" s="56" t="s">
        <v>24</v>
      </c>
      <c r="G13" s="57"/>
      <c r="H13" s="66">
        <v>0.1</v>
      </c>
      <c r="I13" s="67">
        <v>0.1</v>
      </c>
      <c r="J13" s="67"/>
      <c r="K13" s="68">
        <f>I12*H13</f>
        <v>187.59200000000001</v>
      </c>
      <c r="L13" s="69"/>
      <c r="M13" s="69"/>
      <c r="O13" s="63" t="s">
        <v>23</v>
      </c>
      <c r="P13" s="64"/>
      <c r="Q13" s="65"/>
      <c r="S13" s="56" t="s">
        <v>24</v>
      </c>
      <c r="T13" s="57"/>
      <c r="U13" s="70"/>
      <c r="V13" s="61">
        <v>5491.68</v>
      </c>
      <c r="W13" s="71"/>
    </row>
    <row r="14" spans="2:1031" s="8" customFormat="1" ht="19.899999999999999" customHeight="1" x14ac:dyDescent="0.25">
      <c r="B14" s="72" t="s">
        <v>25</v>
      </c>
      <c r="C14" s="73" t="s">
        <v>26</v>
      </c>
      <c r="D14" s="73" t="s">
        <v>13</v>
      </c>
      <c r="F14" s="56" t="s">
        <v>27</v>
      </c>
      <c r="G14" s="57"/>
      <c r="H14" s="74"/>
      <c r="I14" s="75">
        <f>I12-K13</f>
        <v>1688.328</v>
      </c>
      <c r="J14" s="75"/>
      <c r="O14" s="72" t="s">
        <v>25</v>
      </c>
      <c r="P14" s="73" t="s">
        <v>26</v>
      </c>
      <c r="Q14" s="76" t="s">
        <v>13</v>
      </c>
      <c r="S14" s="56" t="s">
        <v>27</v>
      </c>
      <c r="T14" s="57"/>
      <c r="U14" s="77"/>
      <c r="V14" s="61">
        <v>5491.68</v>
      </c>
      <c r="W14" s="69"/>
    </row>
    <row r="15" spans="2:1031" s="8" customFormat="1" ht="19.899999999999999" customHeight="1" x14ac:dyDescent="0.25">
      <c r="B15" s="78">
        <f>(I8+I9)*0.9*0.98</f>
        <v>321.11856</v>
      </c>
      <c r="C15" s="79">
        <v>5.5E-2</v>
      </c>
      <c r="D15" s="80">
        <f>B15*C15</f>
        <v>17.661520800000002</v>
      </c>
      <c r="E15" s="81"/>
      <c r="F15" s="82" t="s">
        <v>28</v>
      </c>
      <c r="G15" s="83"/>
      <c r="H15" s="84">
        <v>0.02</v>
      </c>
      <c r="I15" s="67">
        <v>0.02</v>
      </c>
      <c r="J15" s="67"/>
      <c r="K15" s="68">
        <f>I14*H15</f>
        <v>33.766559999999998</v>
      </c>
      <c r="L15" s="69"/>
      <c r="M15" s="69"/>
      <c r="O15" s="85">
        <f>V10+V11</f>
        <v>914.73</v>
      </c>
      <c r="P15" s="86">
        <v>5.5E-2</v>
      </c>
      <c r="Q15" s="87">
        <f>O15*P15</f>
        <v>50.31015</v>
      </c>
      <c r="S15" s="56" t="s">
        <v>28</v>
      </c>
      <c r="T15" s="88"/>
      <c r="U15" s="89"/>
      <c r="V15" s="61">
        <v>5491.68</v>
      </c>
      <c r="W15" s="71"/>
    </row>
    <row r="16" spans="2:1031" s="8" customFormat="1" ht="19.899999999999999" customHeight="1" x14ac:dyDescent="0.25">
      <c r="B16" s="90">
        <f>(I10+I11)*0.9*0.98</f>
        <v>1333.4428799999998</v>
      </c>
      <c r="C16" s="91">
        <v>0.2</v>
      </c>
      <c r="D16" s="92">
        <f>B16*C16</f>
        <v>266.68857599999996</v>
      </c>
      <c r="E16" s="93"/>
      <c r="F16" s="94" t="s">
        <v>29</v>
      </c>
      <c r="G16" s="57"/>
      <c r="H16" s="95"/>
      <c r="I16" s="59">
        <f>I14-K15</f>
        <v>1654.5614399999999</v>
      </c>
      <c r="J16" s="59"/>
      <c r="O16" s="96">
        <f>V8+V9</f>
        <v>4576.95</v>
      </c>
      <c r="P16" s="97">
        <v>0.2</v>
      </c>
      <c r="Q16" s="98">
        <f>O16*P16</f>
        <v>915.39</v>
      </c>
      <c r="S16" s="56" t="s">
        <v>29</v>
      </c>
      <c r="T16" s="57"/>
      <c r="U16" s="77"/>
      <c r="V16" s="61">
        <v>5491.68</v>
      </c>
      <c r="W16" s="62"/>
    </row>
    <row r="17" spans="2:1031" s="8" customFormat="1" ht="19.899999999999999" customHeight="1" x14ac:dyDescent="0.25">
      <c r="B17" s="99"/>
      <c r="C17" s="100"/>
      <c r="D17" s="101"/>
      <c r="E17" s="81"/>
      <c r="F17" s="81" t="s">
        <v>13</v>
      </c>
      <c r="G17" s="57"/>
      <c r="H17" s="102"/>
      <c r="I17" s="75">
        <f>D15+D16</f>
        <v>284.35009679999996</v>
      </c>
      <c r="J17" s="75"/>
      <c r="O17" s="99"/>
      <c r="P17" s="100"/>
      <c r="Q17" s="101"/>
      <c r="S17" s="56" t="s">
        <v>13</v>
      </c>
      <c r="T17" s="57"/>
      <c r="U17" s="89"/>
      <c r="V17" s="61">
        <f>Q15+Q16</f>
        <v>965.70015000000001</v>
      </c>
      <c r="W17" s="69"/>
    </row>
    <row r="18" spans="2:1031" s="8" customFormat="1" ht="19.899999999999999" customHeight="1" x14ac:dyDescent="0.25">
      <c r="F18" s="103" t="s">
        <v>30</v>
      </c>
      <c r="G18" s="104"/>
      <c r="H18" s="105"/>
      <c r="I18" s="59">
        <f>I16+I17</f>
        <v>1938.9115367999998</v>
      </c>
      <c r="J18" s="59"/>
      <c r="O18" s="93"/>
      <c r="P18" s="93"/>
      <c r="Q18" s="93"/>
      <c r="S18" s="106" t="s">
        <v>30</v>
      </c>
      <c r="T18" s="107"/>
      <c r="U18" s="108"/>
      <c r="V18" s="109">
        <f>V16+V17</f>
        <v>6457.38015</v>
      </c>
      <c r="W18" s="62"/>
    </row>
    <row r="19" spans="2:1031" s="8" customFormat="1" ht="10.15" customHeight="1" x14ac:dyDescent="0.25">
      <c r="B19" s="110"/>
      <c r="C19" s="54"/>
      <c r="D19" s="54"/>
      <c r="F19" s="54"/>
      <c r="G19" s="54"/>
      <c r="H19" s="110"/>
      <c r="I19" s="62"/>
      <c r="J19" s="62"/>
      <c r="O19" s="93"/>
      <c r="P19" s="111"/>
      <c r="Q19" s="93"/>
      <c r="S19" s="54"/>
      <c r="T19" s="54"/>
      <c r="U19" s="110"/>
      <c r="V19" s="112"/>
      <c r="W19" s="62"/>
    </row>
    <row r="20" spans="2:1031" s="8" customFormat="1" ht="19.899999999999999" customHeight="1" x14ac:dyDescent="0.25">
      <c r="B20" s="113" t="s">
        <v>31</v>
      </c>
      <c r="C20" s="114"/>
      <c r="D20" s="114"/>
      <c r="E20" s="114"/>
      <c r="F20" s="115"/>
      <c r="G20" s="116" t="s">
        <v>32</v>
      </c>
      <c r="H20" s="116"/>
      <c r="I20" s="116"/>
      <c r="J20" s="116"/>
      <c r="K20" s="116"/>
      <c r="L20" s="116"/>
      <c r="M20" s="116"/>
      <c r="O20" s="113" t="s">
        <v>31</v>
      </c>
      <c r="P20" s="114"/>
      <c r="Q20" s="114"/>
      <c r="R20" s="114"/>
      <c r="S20" s="115"/>
      <c r="T20" s="116" t="s">
        <v>32</v>
      </c>
      <c r="U20" s="116"/>
      <c r="V20" s="116"/>
      <c r="W20" s="116"/>
      <c r="X20" s="116"/>
      <c r="Y20" s="116"/>
      <c r="Z20" s="116"/>
    </row>
    <row r="21" spans="2:1031" s="8" customFormat="1" ht="49.9" customHeight="1" x14ac:dyDescent="0.25">
      <c r="B21" s="117"/>
      <c r="C21" s="118"/>
      <c r="D21" s="118"/>
      <c r="E21" s="118"/>
      <c r="F21" s="119"/>
      <c r="G21" s="120"/>
      <c r="H21" s="120"/>
      <c r="I21" s="120"/>
      <c r="J21" s="120"/>
      <c r="K21" s="120"/>
      <c r="L21" s="120"/>
      <c r="M21" s="120"/>
      <c r="O21" s="117"/>
      <c r="P21" s="118"/>
      <c r="Q21" s="118"/>
      <c r="R21" s="118"/>
      <c r="S21" s="119"/>
      <c r="T21" s="120"/>
      <c r="U21" s="120"/>
      <c r="V21" s="120"/>
      <c r="W21" s="120"/>
      <c r="X21" s="120"/>
      <c r="Y21" s="120"/>
      <c r="Z21" s="120"/>
    </row>
    <row r="22" spans="2:1031" s="8" customFormat="1" ht="49.9" customHeight="1" x14ac:dyDescent="0.25">
      <c r="B22" s="117"/>
      <c r="C22" s="118"/>
      <c r="D22" s="118"/>
      <c r="E22" s="118"/>
      <c r="F22" s="119"/>
      <c r="G22" s="120"/>
      <c r="H22" s="120"/>
      <c r="I22" s="120"/>
      <c r="J22" s="120"/>
      <c r="K22" s="120"/>
      <c r="L22" s="120"/>
      <c r="M22" s="120"/>
      <c r="O22" s="117"/>
      <c r="P22" s="118"/>
      <c r="Q22" s="118"/>
      <c r="R22" s="118"/>
      <c r="S22" s="119"/>
      <c r="T22" s="120"/>
      <c r="U22" s="120"/>
      <c r="V22" s="120"/>
      <c r="W22" s="120"/>
      <c r="X22" s="120"/>
      <c r="Y22" s="120"/>
      <c r="Z22" s="120"/>
    </row>
    <row r="23" spans="2:1031" s="8" customFormat="1" ht="49.9" customHeight="1" x14ac:dyDescent="0.25">
      <c r="B23" s="117"/>
      <c r="C23" s="118"/>
      <c r="D23" s="118"/>
      <c r="E23" s="118"/>
      <c r="F23" s="119"/>
      <c r="G23" s="120"/>
      <c r="H23" s="120"/>
      <c r="I23" s="120"/>
      <c r="J23" s="120"/>
      <c r="K23" s="120"/>
      <c r="L23" s="120"/>
      <c r="M23" s="120"/>
      <c r="O23" s="117"/>
      <c r="P23" s="118"/>
      <c r="Q23" s="118"/>
      <c r="R23" s="118"/>
      <c r="S23" s="119"/>
      <c r="T23" s="120"/>
      <c r="U23" s="120"/>
      <c r="V23" s="120"/>
      <c r="W23" s="120"/>
      <c r="X23" s="120"/>
      <c r="Y23" s="120"/>
      <c r="Z23" s="120"/>
    </row>
    <row r="24" spans="2:1031" s="8" customFormat="1" ht="69.599999999999994" customHeight="1" x14ac:dyDescent="0.25">
      <c r="B24" s="121"/>
      <c r="C24" s="121"/>
      <c r="D24" s="122"/>
      <c r="E24" s="122"/>
      <c r="F24" s="122"/>
      <c r="G24" s="122"/>
      <c r="H24" s="122"/>
      <c r="I24" s="122"/>
      <c r="J24" s="62"/>
      <c r="O24" s="117"/>
      <c r="P24" s="118"/>
      <c r="Q24" s="118"/>
      <c r="R24" s="118"/>
      <c r="S24" s="119"/>
      <c r="T24" s="120"/>
      <c r="U24" s="120"/>
      <c r="V24" s="120"/>
      <c r="W24" s="120"/>
      <c r="X24" s="120"/>
      <c r="Y24" s="120"/>
      <c r="Z24" s="120"/>
    </row>
    <row r="25" spans="2:1031" s="8" customFormat="1" ht="19.899999999999999" customHeight="1" x14ac:dyDescent="0.25">
      <c r="B25" s="121"/>
      <c r="C25" s="121"/>
      <c r="D25" s="122"/>
      <c r="E25" s="122"/>
      <c r="F25" s="122"/>
      <c r="G25" s="122"/>
      <c r="H25" s="122"/>
      <c r="I25" s="122"/>
      <c r="J25" s="62"/>
      <c r="O25" s="54"/>
      <c r="P25" s="54"/>
      <c r="Q25" s="110"/>
      <c r="R25" s="112"/>
      <c r="S25" s="54"/>
      <c r="T25" s="54"/>
      <c r="U25" s="110"/>
      <c r="V25" s="112"/>
      <c r="W25" s="62"/>
    </row>
    <row r="27" spans="2:1031" s="4" customFormat="1" ht="32.450000000000003" customHeight="1" x14ac:dyDescent="0.3">
      <c r="B27" s="5" t="s">
        <v>33</v>
      </c>
      <c r="C27" s="5"/>
      <c r="D27" s="5"/>
      <c r="E27" s="5"/>
      <c r="F27" s="5"/>
      <c r="G27" s="2" t="s">
        <v>1</v>
      </c>
      <c r="H27" s="5"/>
      <c r="I27" s="6"/>
      <c r="J27" s="1"/>
      <c r="K27" s="3"/>
      <c r="L27" s="3"/>
      <c r="M27" s="3"/>
      <c r="O27" s="5" t="s">
        <v>34</v>
      </c>
      <c r="P27" s="5"/>
      <c r="Q27" s="5"/>
      <c r="R27" s="5"/>
      <c r="S27" s="5"/>
      <c r="T27" s="2" t="s">
        <v>1</v>
      </c>
      <c r="U27" s="5"/>
      <c r="V27" s="6"/>
      <c r="W27" s="1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  <c r="IP27" s="3"/>
      <c r="IQ27" s="3"/>
      <c r="IR27" s="3"/>
      <c r="IS27" s="3"/>
      <c r="IT27" s="3"/>
      <c r="IU27" s="3"/>
      <c r="IV27" s="3"/>
      <c r="IW27" s="3"/>
      <c r="IX27" s="3"/>
      <c r="IY27" s="3"/>
      <c r="IZ27" s="3"/>
      <c r="JA27" s="3"/>
      <c r="JB27" s="3"/>
      <c r="JC27" s="3"/>
      <c r="JD27" s="3"/>
      <c r="JE27" s="3"/>
      <c r="JF27" s="3"/>
      <c r="JG27" s="3"/>
      <c r="JH27" s="3"/>
      <c r="JI27" s="3"/>
      <c r="JJ27" s="3"/>
      <c r="JK27" s="3"/>
      <c r="JL27" s="3"/>
      <c r="JM27" s="3"/>
      <c r="JN27" s="3"/>
      <c r="JO27" s="3"/>
      <c r="JP27" s="3"/>
      <c r="JQ27" s="3"/>
      <c r="JR27" s="3"/>
      <c r="JS27" s="3"/>
      <c r="JT27" s="3"/>
      <c r="JU27" s="3"/>
      <c r="JV27" s="3"/>
      <c r="JW27" s="3"/>
      <c r="JX27" s="3"/>
      <c r="JY27" s="3"/>
      <c r="JZ27" s="3"/>
      <c r="KA27" s="3"/>
      <c r="KB27" s="3"/>
      <c r="KC27" s="3"/>
      <c r="KD27" s="3"/>
      <c r="KE27" s="3"/>
      <c r="KF27" s="3"/>
      <c r="KG27" s="3"/>
      <c r="KH27" s="3"/>
      <c r="KI27" s="3"/>
      <c r="KJ27" s="3"/>
      <c r="KK27" s="3"/>
      <c r="KL27" s="3"/>
      <c r="KM27" s="3"/>
      <c r="KN27" s="3"/>
      <c r="KO27" s="3"/>
      <c r="KP27" s="3"/>
      <c r="KQ27" s="3"/>
      <c r="KR27" s="3"/>
      <c r="KS27" s="3"/>
      <c r="KT27" s="3"/>
      <c r="KU27" s="3"/>
      <c r="KV27" s="3"/>
      <c r="KW27" s="3"/>
      <c r="KX27" s="3"/>
      <c r="KY27" s="3"/>
      <c r="KZ27" s="3"/>
      <c r="LA27" s="3"/>
      <c r="LB27" s="3"/>
      <c r="LC27" s="3"/>
      <c r="LD27" s="3"/>
      <c r="LE27" s="3"/>
      <c r="LF27" s="3"/>
      <c r="LG27" s="3"/>
      <c r="LH27" s="3"/>
      <c r="LI27" s="3"/>
      <c r="LJ27" s="3"/>
      <c r="LK27" s="3"/>
      <c r="LL27" s="3"/>
      <c r="LM27" s="3"/>
      <c r="LN27" s="3"/>
      <c r="LO27" s="3"/>
      <c r="LP27" s="3"/>
      <c r="LQ27" s="3"/>
      <c r="LR27" s="3"/>
      <c r="LS27" s="3"/>
      <c r="LT27" s="3"/>
      <c r="LU27" s="3"/>
      <c r="LV27" s="3"/>
      <c r="LW27" s="3"/>
      <c r="LX27" s="3"/>
      <c r="LY27" s="3"/>
      <c r="LZ27" s="3"/>
      <c r="MA27" s="3"/>
      <c r="MB27" s="3"/>
      <c r="MC27" s="3"/>
      <c r="MD27" s="3"/>
      <c r="ME27" s="3"/>
      <c r="MF27" s="3"/>
      <c r="MG27" s="3"/>
      <c r="MH27" s="3"/>
      <c r="MI27" s="3"/>
      <c r="MJ27" s="3"/>
      <c r="MK27" s="3"/>
      <c r="ML27" s="3"/>
      <c r="MM27" s="3"/>
      <c r="MN27" s="3"/>
      <c r="MO27" s="3"/>
      <c r="MP27" s="3"/>
      <c r="MQ27" s="3"/>
      <c r="MR27" s="3"/>
      <c r="MS27" s="3"/>
      <c r="MT27" s="3"/>
      <c r="MU27" s="3"/>
      <c r="MV27" s="3"/>
      <c r="MW27" s="3"/>
      <c r="MX27" s="3"/>
      <c r="MY27" s="3"/>
      <c r="MZ27" s="3"/>
      <c r="NA27" s="3"/>
      <c r="NB27" s="3"/>
      <c r="NC27" s="3"/>
      <c r="ND27" s="3"/>
      <c r="NE27" s="3"/>
      <c r="NF27" s="3"/>
      <c r="NG27" s="3"/>
      <c r="NH27" s="3"/>
      <c r="NI27" s="3"/>
      <c r="NJ27" s="3"/>
      <c r="NK27" s="3"/>
      <c r="NL27" s="3"/>
      <c r="NM27" s="3"/>
      <c r="NN27" s="3"/>
      <c r="NO27" s="3"/>
      <c r="NP27" s="3"/>
      <c r="NQ27" s="3"/>
      <c r="NR27" s="3"/>
      <c r="NS27" s="3"/>
      <c r="NT27" s="3"/>
      <c r="NU27" s="3"/>
      <c r="NV27" s="3"/>
      <c r="NW27" s="3"/>
      <c r="NX27" s="3"/>
      <c r="NY27" s="3"/>
      <c r="NZ27" s="3"/>
      <c r="OA27" s="3"/>
      <c r="OB27" s="3"/>
      <c r="OC27" s="3"/>
      <c r="OD27" s="3"/>
      <c r="OE27" s="3"/>
      <c r="OF27" s="3"/>
      <c r="OG27" s="3"/>
      <c r="OH27" s="3"/>
      <c r="OI27" s="3"/>
      <c r="OJ27" s="3"/>
      <c r="OK27" s="3"/>
      <c r="OL27" s="3"/>
      <c r="OM27" s="3"/>
      <c r="ON27" s="3"/>
      <c r="OO27" s="3"/>
      <c r="OP27" s="3"/>
      <c r="OQ27" s="3"/>
      <c r="OR27" s="3"/>
      <c r="OS27" s="3"/>
      <c r="OT27" s="3"/>
      <c r="OU27" s="3"/>
      <c r="OV27" s="3"/>
      <c r="OW27" s="3"/>
      <c r="OX27" s="3"/>
      <c r="OY27" s="3"/>
      <c r="OZ27" s="3"/>
      <c r="PA27" s="3"/>
      <c r="PB27" s="3"/>
      <c r="PC27" s="3"/>
      <c r="PD27" s="3"/>
      <c r="PE27" s="3"/>
      <c r="PF27" s="3"/>
      <c r="PG27" s="3"/>
      <c r="PH27" s="3"/>
      <c r="PI27" s="3"/>
      <c r="PJ27" s="3"/>
      <c r="PK27" s="3"/>
      <c r="PL27" s="3"/>
      <c r="PM27" s="3"/>
      <c r="PN27" s="3"/>
      <c r="PO27" s="3"/>
      <c r="PP27" s="3"/>
      <c r="PQ27" s="3"/>
      <c r="PR27" s="3"/>
      <c r="PS27" s="3"/>
      <c r="PT27" s="3"/>
      <c r="PU27" s="3"/>
      <c r="PV27" s="3"/>
      <c r="PW27" s="3"/>
      <c r="PX27" s="3"/>
      <c r="PY27" s="3"/>
      <c r="PZ27" s="3"/>
      <c r="QA27" s="3"/>
      <c r="QB27" s="3"/>
      <c r="QC27" s="3"/>
      <c r="QD27" s="3"/>
      <c r="QE27" s="3"/>
      <c r="QF27" s="3"/>
      <c r="QG27" s="3"/>
      <c r="QH27" s="3"/>
      <c r="QI27" s="3"/>
      <c r="QJ27" s="3"/>
      <c r="QK27" s="3"/>
      <c r="QL27" s="3"/>
      <c r="QM27" s="3"/>
      <c r="QN27" s="3"/>
      <c r="QO27" s="3"/>
      <c r="QP27" s="3"/>
      <c r="QQ27" s="3"/>
      <c r="QR27" s="3"/>
      <c r="QS27" s="3"/>
      <c r="QT27" s="3"/>
      <c r="QU27" s="3"/>
      <c r="QV27" s="3"/>
      <c r="QW27" s="3"/>
      <c r="QX27" s="3"/>
      <c r="QY27" s="3"/>
      <c r="QZ27" s="3"/>
      <c r="RA27" s="3"/>
      <c r="RB27" s="3"/>
      <c r="RC27" s="3"/>
      <c r="RD27" s="3"/>
      <c r="RE27" s="3"/>
      <c r="RF27" s="3"/>
      <c r="RG27" s="3"/>
      <c r="RH27" s="3"/>
      <c r="RI27" s="3"/>
      <c r="RJ27" s="3"/>
      <c r="RK27" s="3"/>
      <c r="RL27" s="3"/>
      <c r="RM27" s="3"/>
      <c r="RN27" s="3"/>
      <c r="RO27" s="3"/>
      <c r="RP27" s="3"/>
      <c r="RQ27" s="3"/>
      <c r="RR27" s="3"/>
      <c r="RS27" s="3"/>
      <c r="RT27" s="3"/>
      <c r="RU27" s="3"/>
      <c r="RV27" s="3"/>
      <c r="RW27" s="3"/>
      <c r="RX27" s="3"/>
      <c r="RY27" s="3"/>
      <c r="RZ27" s="3"/>
      <c r="SA27" s="3"/>
      <c r="SB27" s="3"/>
      <c r="SC27" s="3"/>
      <c r="SD27" s="3"/>
      <c r="SE27" s="3"/>
      <c r="SF27" s="3"/>
      <c r="SG27" s="3"/>
      <c r="SH27" s="3"/>
      <c r="SI27" s="3"/>
      <c r="SJ27" s="3"/>
      <c r="SK27" s="3"/>
      <c r="SL27" s="3"/>
      <c r="SM27" s="3"/>
      <c r="SN27" s="3"/>
      <c r="SO27" s="3"/>
      <c r="SP27" s="3"/>
      <c r="SQ27" s="3"/>
      <c r="SR27" s="3"/>
      <c r="SS27" s="3"/>
      <c r="ST27" s="3"/>
      <c r="SU27" s="3"/>
      <c r="SV27" s="3"/>
      <c r="SW27" s="3"/>
      <c r="SX27" s="3"/>
      <c r="SY27" s="3"/>
      <c r="SZ27" s="3"/>
      <c r="TA27" s="3"/>
      <c r="TB27" s="3"/>
      <c r="TC27" s="3"/>
      <c r="TD27" s="3"/>
      <c r="TE27" s="3"/>
      <c r="TF27" s="3"/>
      <c r="TG27" s="3"/>
      <c r="TH27" s="3"/>
      <c r="TI27" s="3"/>
      <c r="TJ27" s="3"/>
      <c r="TK27" s="3"/>
      <c r="TL27" s="3"/>
      <c r="TM27" s="3"/>
      <c r="TN27" s="3"/>
      <c r="TO27" s="3"/>
      <c r="TP27" s="3"/>
      <c r="TQ27" s="3"/>
      <c r="TR27" s="3"/>
      <c r="TS27" s="3"/>
      <c r="TT27" s="3"/>
      <c r="TU27" s="3"/>
      <c r="TV27" s="3"/>
      <c r="TW27" s="3"/>
      <c r="TX27" s="3"/>
      <c r="TY27" s="3"/>
      <c r="TZ27" s="3"/>
      <c r="UA27" s="3"/>
      <c r="UB27" s="3"/>
      <c r="UC27" s="3"/>
      <c r="UD27" s="3"/>
      <c r="UE27" s="3"/>
      <c r="UF27" s="3"/>
      <c r="UG27" s="3"/>
      <c r="UH27" s="3"/>
      <c r="UI27" s="3"/>
      <c r="UJ27" s="3"/>
      <c r="UK27" s="3"/>
      <c r="UL27" s="3"/>
      <c r="UM27" s="3"/>
      <c r="UN27" s="3"/>
      <c r="UO27" s="3"/>
      <c r="UP27" s="3"/>
      <c r="UQ27" s="3"/>
      <c r="UR27" s="3"/>
      <c r="US27" s="3"/>
      <c r="UT27" s="3"/>
      <c r="UU27" s="3"/>
      <c r="UV27" s="3"/>
      <c r="UW27" s="3"/>
      <c r="UX27" s="3"/>
      <c r="UY27" s="3"/>
      <c r="UZ27" s="3"/>
      <c r="VA27" s="3"/>
      <c r="VB27" s="3"/>
      <c r="VC27" s="3"/>
      <c r="VD27" s="3"/>
      <c r="VE27" s="3"/>
      <c r="VF27" s="3"/>
      <c r="VG27" s="3"/>
      <c r="VH27" s="3"/>
      <c r="VI27" s="3"/>
      <c r="VJ27" s="3"/>
      <c r="VK27" s="3"/>
      <c r="VL27" s="3"/>
      <c r="VM27" s="3"/>
      <c r="VN27" s="3"/>
      <c r="VO27" s="3"/>
      <c r="VP27" s="3"/>
      <c r="VQ27" s="3"/>
      <c r="VR27" s="3"/>
      <c r="VS27" s="3"/>
      <c r="VT27" s="3"/>
      <c r="VU27" s="3"/>
      <c r="VV27" s="3"/>
      <c r="VW27" s="3"/>
      <c r="VX27" s="3"/>
      <c r="VY27" s="3"/>
      <c r="VZ27" s="3"/>
      <c r="WA27" s="3"/>
      <c r="WB27" s="3"/>
      <c r="WC27" s="3"/>
      <c r="WD27" s="3"/>
      <c r="WE27" s="3"/>
      <c r="WF27" s="3"/>
      <c r="WG27" s="3"/>
      <c r="WH27" s="3"/>
      <c r="WI27" s="3"/>
      <c r="WJ27" s="3"/>
      <c r="WK27" s="3"/>
      <c r="WL27" s="3"/>
      <c r="WM27" s="3"/>
      <c r="WN27" s="3"/>
      <c r="WO27" s="3"/>
      <c r="WP27" s="3"/>
      <c r="WQ27" s="3"/>
      <c r="WR27" s="3"/>
      <c r="WS27" s="3"/>
      <c r="WT27" s="3"/>
      <c r="WU27" s="3"/>
      <c r="WV27" s="3"/>
      <c r="WW27" s="3"/>
      <c r="WX27" s="3"/>
      <c r="WY27" s="3"/>
      <c r="WZ27" s="3"/>
      <c r="XA27" s="3"/>
      <c r="XB27" s="3"/>
      <c r="XC27" s="3"/>
      <c r="XD27" s="3"/>
      <c r="XE27" s="3"/>
      <c r="XF27" s="3"/>
      <c r="XG27" s="3"/>
      <c r="XH27" s="3"/>
      <c r="XI27" s="3"/>
      <c r="XJ27" s="3"/>
      <c r="XK27" s="3"/>
      <c r="XL27" s="3"/>
      <c r="XM27" s="3"/>
      <c r="XN27" s="3"/>
      <c r="XO27" s="3"/>
      <c r="XP27" s="3"/>
      <c r="XQ27" s="3"/>
      <c r="XR27" s="3"/>
      <c r="XS27" s="3"/>
      <c r="XT27" s="3"/>
      <c r="XU27" s="3"/>
      <c r="XV27" s="3"/>
      <c r="XW27" s="3"/>
      <c r="XX27" s="3"/>
      <c r="XY27" s="3"/>
      <c r="XZ27" s="3"/>
      <c r="YA27" s="3"/>
      <c r="YB27" s="3"/>
      <c r="YC27" s="3"/>
      <c r="YD27" s="3"/>
      <c r="YE27" s="3"/>
      <c r="YF27" s="3"/>
      <c r="YG27" s="3"/>
      <c r="YH27" s="3"/>
      <c r="YI27" s="3"/>
      <c r="YJ27" s="3"/>
      <c r="YK27" s="3"/>
      <c r="YL27" s="3"/>
      <c r="YM27" s="3"/>
      <c r="YN27" s="3"/>
      <c r="YO27" s="3"/>
      <c r="YP27" s="3"/>
      <c r="YQ27" s="3"/>
      <c r="YR27" s="3"/>
      <c r="YS27" s="3"/>
      <c r="YT27" s="3"/>
      <c r="YU27" s="3"/>
      <c r="YV27" s="3"/>
      <c r="YW27" s="3"/>
      <c r="YX27" s="3"/>
      <c r="YY27" s="3"/>
      <c r="YZ27" s="3"/>
      <c r="ZA27" s="3"/>
      <c r="ZB27" s="3"/>
      <c r="ZC27" s="3"/>
      <c r="ZD27" s="3"/>
      <c r="ZE27" s="3"/>
      <c r="ZF27" s="3"/>
      <c r="ZG27" s="3"/>
      <c r="ZH27" s="3"/>
      <c r="ZI27" s="3"/>
      <c r="ZJ27" s="3"/>
      <c r="ZK27" s="3"/>
      <c r="ZL27" s="3"/>
      <c r="ZM27" s="3"/>
      <c r="ZN27" s="3"/>
      <c r="ZO27" s="3"/>
      <c r="ZP27" s="3"/>
      <c r="ZQ27" s="3"/>
      <c r="ZR27" s="3"/>
      <c r="ZS27" s="3"/>
      <c r="ZT27" s="3"/>
      <c r="ZU27" s="3"/>
      <c r="ZV27" s="3"/>
      <c r="ZW27" s="3"/>
      <c r="ZX27" s="3"/>
      <c r="ZY27" s="3"/>
      <c r="ZZ27" s="3"/>
      <c r="AAA27" s="3"/>
      <c r="AAB27" s="3"/>
      <c r="AAC27" s="3"/>
      <c r="AAD27" s="3"/>
      <c r="AAE27" s="3"/>
      <c r="AAF27" s="3"/>
      <c r="AAG27" s="3"/>
      <c r="AAH27" s="3"/>
      <c r="AAI27" s="3"/>
      <c r="AAJ27" s="3"/>
      <c r="AAK27" s="3"/>
      <c r="AAL27" s="3"/>
      <c r="AAM27" s="3"/>
      <c r="AAN27" s="3"/>
      <c r="AAO27" s="3"/>
      <c r="AAP27" s="3"/>
      <c r="AAQ27" s="3"/>
      <c r="AAR27" s="3"/>
      <c r="AAS27" s="3"/>
      <c r="AAT27" s="3"/>
      <c r="AAU27" s="3"/>
      <c r="AAV27" s="3"/>
      <c r="AAW27" s="3"/>
      <c r="AAX27" s="3"/>
      <c r="AAY27" s="3"/>
      <c r="AAZ27" s="3"/>
      <c r="ABA27" s="3"/>
      <c r="ABB27" s="3"/>
      <c r="ABC27" s="3"/>
      <c r="ABD27" s="3"/>
      <c r="ABE27" s="3"/>
      <c r="ABF27" s="3"/>
      <c r="ABG27" s="3"/>
      <c r="ABH27" s="3"/>
      <c r="ABI27" s="3"/>
      <c r="ABJ27" s="3"/>
      <c r="ABK27" s="3"/>
      <c r="ABL27" s="3"/>
      <c r="ABM27" s="3"/>
      <c r="ABN27" s="3"/>
      <c r="ABO27" s="3"/>
      <c r="ABP27" s="3"/>
      <c r="ABQ27" s="3"/>
      <c r="ABR27" s="3"/>
      <c r="ABS27" s="3"/>
      <c r="ABT27" s="3"/>
      <c r="ABU27" s="3"/>
      <c r="ABV27" s="3"/>
      <c r="ABW27" s="3"/>
      <c r="ABX27" s="3"/>
      <c r="ABY27" s="3"/>
      <c r="ABZ27" s="3"/>
      <c r="ACA27" s="3"/>
      <c r="ACB27" s="3"/>
      <c r="ACC27" s="3"/>
      <c r="ACD27" s="3"/>
      <c r="ACE27" s="3"/>
      <c r="ACF27" s="3"/>
      <c r="ACG27" s="3"/>
      <c r="ACH27" s="3"/>
      <c r="ACI27" s="3"/>
      <c r="ACJ27" s="3"/>
      <c r="ACK27" s="3"/>
      <c r="ACL27" s="3"/>
      <c r="ACM27" s="3"/>
      <c r="ACN27" s="3"/>
      <c r="ACO27" s="3"/>
      <c r="ACP27" s="3"/>
      <c r="ACQ27" s="3"/>
      <c r="ACR27" s="3"/>
      <c r="ACS27" s="3"/>
      <c r="ACT27" s="3"/>
      <c r="ACU27" s="3"/>
      <c r="ACV27" s="3"/>
      <c r="ACW27" s="3"/>
      <c r="ACX27" s="3"/>
      <c r="ACY27" s="3"/>
      <c r="ACZ27" s="3"/>
      <c r="ADA27" s="3"/>
      <c r="ADB27" s="3"/>
      <c r="ADC27" s="3"/>
      <c r="ADD27" s="3"/>
      <c r="ADE27" s="3"/>
      <c r="ADF27" s="3"/>
      <c r="ADG27" s="3"/>
      <c r="ADH27" s="3"/>
      <c r="ADI27" s="3"/>
      <c r="ADJ27" s="3"/>
      <c r="ADK27" s="3"/>
      <c r="ADL27" s="3"/>
      <c r="ADM27" s="3"/>
      <c r="ADN27" s="3"/>
      <c r="ADO27" s="3"/>
      <c r="ADP27" s="3"/>
      <c r="ADQ27" s="3"/>
      <c r="ADR27" s="3"/>
      <c r="ADS27" s="3"/>
      <c r="ADT27" s="3"/>
      <c r="ADU27" s="3"/>
      <c r="ADV27" s="3"/>
      <c r="ADW27" s="3"/>
      <c r="ADX27" s="3"/>
      <c r="ADY27" s="3"/>
      <c r="ADZ27" s="3"/>
      <c r="AEA27" s="3"/>
      <c r="AEB27" s="3"/>
      <c r="AEC27" s="3"/>
      <c r="AED27" s="3"/>
      <c r="AEE27" s="3"/>
      <c r="AEF27" s="3"/>
      <c r="AEG27" s="3"/>
      <c r="AEH27" s="3"/>
      <c r="AEI27" s="3"/>
      <c r="AEJ27" s="3"/>
      <c r="AEK27" s="3"/>
      <c r="AEL27" s="3"/>
      <c r="AEM27" s="3"/>
      <c r="AEN27" s="3"/>
      <c r="AEO27" s="3"/>
      <c r="AEP27" s="3"/>
      <c r="AEQ27" s="3"/>
      <c r="AER27" s="3"/>
      <c r="AES27" s="3"/>
      <c r="AET27" s="3"/>
      <c r="AEU27" s="3"/>
      <c r="AEV27" s="3"/>
      <c r="AEW27" s="3"/>
      <c r="AEX27" s="3"/>
      <c r="AEY27" s="3"/>
      <c r="AEZ27" s="3"/>
      <c r="AFA27" s="3"/>
      <c r="AFB27" s="3"/>
      <c r="AFC27" s="3"/>
      <c r="AFD27" s="3"/>
      <c r="AFE27" s="3"/>
      <c r="AFF27" s="3"/>
      <c r="AFG27" s="3"/>
      <c r="AFH27" s="3"/>
      <c r="AFI27" s="3"/>
      <c r="AFJ27" s="3"/>
      <c r="AFK27" s="3"/>
      <c r="AFL27" s="3"/>
      <c r="AFM27" s="3"/>
      <c r="AFN27" s="3"/>
      <c r="AFO27" s="3"/>
      <c r="AFP27" s="3"/>
      <c r="AFQ27" s="3"/>
      <c r="AFR27" s="3"/>
      <c r="AFS27" s="3"/>
      <c r="AFT27" s="3"/>
      <c r="AFU27" s="3"/>
      <c r="AFV27" s="3"/>
      <c r="AFW27" s="3"/>
      <c r="AFX27" s="3"/>
      <c r="AFY27" s="3"/>
      <c r="AFZ27" s="3"/>
      <c r="AGA27" s="3"/>
      <c r="AGB27" s="3"/>
      <c r="AGC27" s="3"/>
      <c r="AGD27" s="3"/>
      <c r="AGE27" s="3"/>
      <c r="AGF27" s="3"/>
      <c r="AGG27" s="3"/>
      <c r="AGH27" s="3"/>
      <c r="AGI27" s="3"/>
      <c r="AGJ27" s="3"/>
      <c r="AGK27" s="3"/>
      <c r="AGL27" s="3"/>
      <c r="AGM27" s="3"/>
      <c r="AGN27" s="3"/>
      <c r="AGO27" s="3"/>
      <c r="AGP27" s="3"/>
      <c r="AGQ27" s="3"/>
      <c r="AGR27" s="3"/>
      <c r="AGS27" s="3"/>
      <c r="AGT27" s="3"/>
      <c r="AGU27" s="3"/>
      <c r="AGV27" s="3"/>
      <c r="AGW27" s="3"/>
      <c r="AGX27" s="3"/>
      <c r="AGY27" s="3"/>
      <c r="AGZ27" s="3"/>
      <c r="AHA27" s="3"/>
      <c r="AHB27" s="3"/>
      <c r="AHC27" s="3"/>
      <c r="AHD27" s="3"/>
      <c r="AHE27" s="3"/>
      <c r="AHF27" s="3"/>
      <c r="AHG27" s="3"/>
      <c r="AHH27" s="3"/>
      <c r="AHI27" s="3"/>
      <c r="AHJ27" s="3"/>
      <c r="AHK27" s="3"/>
      <c r="AHL27" s="3"/>
      <c r="AHM27" s="3"/>
      <c r="AHN27" s="3"/>
      <c r="AHO27" s="3"/>
      <c r="AHP27" s="3"/>
      <c r="AHQ27" s="3"/>
      <c r="AHR27" s="3"/>
      <c r="AHS27" s="3"/>
      <c r="AHT27" s="3"/>
      <c r="AHU27" s="3"/>
      <c r="AHV27" s="3"/>
      <c r="AHW27" s="3"/>
      <c r="AHX27" s="3"/>
      <c r="AHY27" s="3"/>
      <c r="AHZ27" s="3"/>
      <c r="AIA27" s="3"/>
      <c r="AIB27" s="3"/>
      <c r="AIC27" s="3"/>
      <c r="AID27" s="3"/>
      <c r="AIE27" s="3"/>
      <c r="AIF27" s="3"/>
      <c r="AIG27" s="3"/>
      <c r="AIH27" s="3"/>
      <c r="AII27" s="3"/>
      <c r="AIJ27" s="3"/>
      <c r="AIK27" s="3"/>
      <c r="AIL27" s="3"/>
      <c r="AIM27" s="3"/>
      <c r="AIN27" s="3"/>
      <c r="AIO27" s="3"/>
      <c r="AIP27" s="3"/>
      <c r="AIQ27" s="3"/>
      <c r="AIR27" s="3"/>
      <c r="AIS27" s="3"/>
      <c r="AIT27" s="3"/>
      <c r="AIU27" s="3"/>
      <c r="AIV27" s="3"/>
      <c r="AIW27" s="3"/>
      <c r="AIX27" s="3"/>
      <c r="AIY27" s="3"/>
      <c r="AIZ27" s="3"/>
      <c r="AJA27" s="3"/>
      <c r="AJB27" s="3"/>
      <c r="AJC27" s="3"/>
      <c r="AJD27" s="3"/>
      <c r="AJE27" s="3"/>
      <c r="AJF27" s="3"/>
      <c r="AJG27" s="3"/>
      <c r="AJH27" s="3"/>
      <c r="AJI27" s="3"/>
      <c r="AJJ27" s="3"/>
      <c r="AJK27" s="3"/>
      <c r="AJL27" s="3"/>
      <c r="AJM27" s="3"/>
      <c r="AJN27" s="3"/>
      <c r="AJO27" s="3"/>
      <c r="AJP27" s="3"/>
      <c r="AJQ27" s="3"/>
      <c r="AJR27" s="3"/>
      <c r="AJS27" s="3"/>
      <c r="AJT27" s="3"/>
      <c r="AJU27" s="3"/>
      <c r="AJV27" s="3"/>
      <c r="AJW27" s="3"/>
      <c r="AJX27" s="3"/>
      <c r="AJY27" s="3"/>
      <c r="AJZ27" s="3"/>
      <c r="AKA27" s="3"/>
      <c r="AKB27" s="3"/>
      <c r="AKC27" s="3"/>
      <c r="AKD27" s="3"/>
      <c r="AKE27" s="3"/>
      <c r="AKF27" s="3"/>
      <c r="AKG27" s="3"/>
      <c r="AKH27" s="3"/>
      <c r="AKI27" s="3"/>
      <c r="AKJ27" s="3"/>
      <c r="AKK27" s="3"/>
      <c r="AKL27" s="3"/>
      <c r="AKM27" s="3"/>
      <c r="AKN27" s="3"/>
      <c r="AKO27" s="3"/>
      <c r="AKP27" s="3"/>
      <c r="AKQ27" s="3"/>
      <c r="AKR27" s="3"/>
      <c r="AKS27" s="3"/>
      <c r="AKT27" s="3"/>
      <c r="AKU27" s="3"/>
      <c r="AKV27" s="3"/>
      <c r="AKW27" s="3"/>
      <c r="AKX27" s="3"/>
      <c r="AKY27" s="3"/>
      <c r="AKZ27" s="3"/>
      <c r="ALA27" s="3"/>
      <c r="ALB27" s="3"/>
      <c r="ALC27" s="3"/>
      <c r="ALD27" s="3"/>
      <c r="ALE27" s="3"/>
      <c r="ALF27" s="3"/>
      <c r="ALG27" s="3"/>
      <c r="ALH27" s="3"/>
      <c r="ALI27" s="3"/>
      <c r="ALJ27" s="3"/>
      <c r="ALK27" s="3"/>
      <c r="ALL27" s="3"/>
      <c r="ALM27" s="3"/>
      <c r="ALN27" s="3"/>
      <c r="ALO27" s="3"/>
      <c r="ALP27" s="3"/>
      <c r="ALQ27" s="3"/>
      <c r="ALR27" s="3"/>
      <c r="ALS27" s="3"/>
      <c r="ALT27" s="3"/>
      <c r="ALU27" s="3"/>
      <c r="ALV27" s="3"/>
      <c r="ALW27" s="3"/>
      <c r="ALX27" s="3"/>
      <c r="ALY27" s="3"/>
      <c r="ALZ27" s="3"/>
      <c r="AMA27" s="3"/>
      <c r="AMB27" s="3"/>
      <c r="AMC27" s="3"/>
      <c r="AMD27" s="3"/>
      <c r="AME27" s="3"/>
      <c r="AMF27" s="3"/>
      <c r="AMG27" s="3"/>
      <c r="AMH27" s="3"/>
      <c r="AMI27" s="3"/>
      <c r="AMJ27" s="3"/>
      <c r="AMK27" s="3"/>
      <c r="AML27" s="3"/>
      <c r="AMM27" s="3"/>
      <c r="AMN27" s="3"/>
      <c r="AMO27" s="3"/>
      <c r="AMP27" s="3"/>
      <c r="AMQ27" s="3"/>
    </row>
    <row r="28" spans="2:1031" ht="16.899999999999999" customHeight="1" x14ac:dyDescent="0.25">
      <c r="B28" s="7" t="s">
        <v>3</v>
      </c>
      <c r="C28" s="7"/>
      <c r="D28" s="7"/>
      <c r="E28" s="7"/>
      <c r="F28" s="7"/>
      <c r="G28" s="7"/>
      <c r="H28" s="7"/>
      <c r="I28" s="7"/>
      <c r="J28" s="7"/>
      <c r="O28" s="7" t="s">
        <v>3</v>
      </c>
      <c r="P28" s="7"/>
      <c r="Q28" s="7"/>
      <c r="R28" s="7"/>
      <c r="S28" s="7"/>
      <c r="T28" s="7"/>
      <c r="U28" s="7"/>
      <c r="V28" s="7"/>
      <c r="W28" s="7"/>
    </row>
    <row r="29" spans="2:1031" s="8" customFormat="1" ht="36" customHeight="1" x14ac:dyDescent="0.25">
      <c r="B29" s="10" t="s">
        <v>35</v>
      </c>
      <c r="C29" s="123"/>
      <c r="D29" s="123"/>
      <c r="E29" s="123"/>
      <c r="F29" s="123"/>
      <c r="G29" s="123"/>
      <c r="H29" s="123"/>
      <c r="I29" s="123"/>
      <c r="J29" s="124"/>
      <c r="O29" s="10" t="s">
        <v>36</v>
      </c>
      <c r="P29" s="123"/>
      <c r="Q29" s="123"/>
      <c r="R29" s="123"/>
      <c r="S29" s="123"/>
      <c r="T29" s="123"/>
      <c r="U29" s="123"/>
      <c r="V29" s="123"/>
      <c r="W29" s="124"/>
    </row>
    <row r="31" spans="2:1031" ht="16.899999999999999" customHeight="1" x14ac:dyDescent="0.25">
      <c r="B31" s="13" t="s">
        <v>6</v>
      </c>
      <c r="C31" s="13"/>
      <c r="D31" s="13"/>
      <c r="E31" s="13"/>
      <c r="F31" s="13"/>
      <c r="G31" s="13"/>
      <c r="H31" s="13"/>
      <c r="I31" s="13"/>
      <c r="J31" s="125"/>
      <c r="O31" s="126" t="s">
        <v>6</v>
      </c>
      <c r="P31" s="127"/>
      <c r="Q31" s="127"/>
      <c r="R31" s="127"/>
      <c r="S31" s="127"/>
      <c r="T31" s="127"/>
      <c r="U31" s="127"/>
      <c r="V31" s="128"/>
      <c r="W31" s="125"/>
    </row>
    <row r="32" spans="2:1031" s="23" customFormat="1" ht="41.45" customHeight="1" x14ac:dyDescent="0.25">
      <c r="B32" s="24" t="s">
        <v>7</v>
      </c>
      <c r="C32" s="25"/>
      <c r="D32" s="26"/>
      <c r="E32" s="27" t="s">
        <v>8</v>
      </c>
      <c r="F32" s="28" t="s">
        <v>9</v>
      </c>
      <c r="G32" s="41" t="s">
        <v>10</v>
      </c>
      <c r="H32" s="28" t="s">
        <v>11</v>
      </c>
      <c r="I32" s="29" t="s">
        <v>12</v>
      </c>
      <c r="J32" s="30" t="s">
        <v>13</v>
      </c>
      <c r="K32" s="22"/>
      <c r="L32" s="22"/>
      <c r="M32" s="22"/>
      <c r="O32" s="24" t="s">
        <v>7</v>
      </c>
      <c r="P32" s="25"/>
      <c r="Q32" s="26"/>
      <c r="R32" s="27" t="s">
        <v>8</v>
      </c>
      <c r="S32" s="28" t="s">
        <v>9</v>
      </c>
      <c r="T32" s="41" t="s">
        <v>37</v>
      </c>
      <c r="U32" s="28" t="s">
        <v>11</v>
      </c>
      <c r="V32" s="29" t="s">
        <v>12</v>
      </c>
      <c r="W32" s="30" t="s">
        <v>13</v>
      </c>
    </row>
    <row r="33" spans="2:26" s="23" customFormat="1" ht="19.899999999999999" customHeight="1" x14ac:dyDescent="0.25">
      <c r="B33" s="43" t="s">
        <v>38</v>
      </c>
      <c r="C33" s="43"/>
      <c r="D33" s="43"/>
      <c r="E33" s="32">
        <v>33</v>
      </c>
      <c r="F33" s="33">
        <v>14.11</v>
      </c>
      <c r="G33" s="129">
        <v>10</v>
      </c>
      <c r="H33" s="130">
        <v>14.11</v>
      </c>
      <c r="I33" s="130">
        <f>H33*E33</f>
        <v>465.63</v>
      </c>
      <c r="J33" s="37"/>
      <c r="K33" s="22"/>
      <c r="L33" s="22"/>
      <c r="M33" s="22"/>
      <c r="O33" s="43" t="s">
        <v>39</v>
      </c>
      <c r="P33" s="43"/>
      <c r="Q33" s="43"/>
      <c r="R33" s="41">
        <v>60</v>
      </c>
      <c r="S33" s="33">
        <v>7.21</v>
      </c>
      <c r="T33" s="34">
        <v>8</v>
      </c>
      <c r="U33" s="130">
        <f>S33*(100+T33)/100</f>
        <v>7.7867999999999995</v>
      </c>
      <c r="V33" s="130">
        <f>U33*R33</f>
        <v>467.20799999999997</v>
      </c>
      <c r="W33" s="37">
        <v>1</v>
      </c>
    </row>
    <row r="34" spans="2:26" s="23" customFormat="1" ht="19.899999999999999" customHeight="1" x14ac:dyDescent="0.25">
      <c r="B34" s="43" t="s">
        <v>40</v>
      </c>
      <c r="C34" s="43"/>
      <c r="D34" s="43"/>
      <c r="E34" s="32">
        <v>44</v>
      </c>
      <c r="F34" s="33">
        <v>10.87</v>
      </c>
      <c r="G34" s="129"/>
      <c r="H34" s="130">
        <f t="shared" ref="H34:H37" si="2">F34*((100-G34)/100)</f>
        <v>10.87</v>
      </c>
      <c r="I34" s="130">
        <f t="shared" ref="I34:I37" si="3">H34*E34</f>
        <v>478.28</v>
      </c>
      <c r="J34" s="37"/>
      <c r="K34" s="22"/>
      <c r="L34" s="22"/>
      <c r="M34" s="22"/>
      <c r="O34" s="43" t="s">
        <v>41</v>
      </c>
      <c r="P34" s="43"/>
      <c r="Q34" s="43"/>
      <c r="R34" s="41">
        <v>20</v>
      </c>
      <c r="S34" s="33">
        <v>5.86</v>
      </c>
      <c r="T34" s="34">
        <v>10</v>
      </c>
      <c r="U34" s="130">
        <f t="shared" ref="U34:U37" si="4">S34*(100+T34)/100</f>
        <v>6.4460000000000006</v>
      </c>
      <c r="V34" s="130">
        <f t="shared" ref="V34:V37" si="5">U34*R34</f>
        <v>128.92000000000002</v>
      </c>
      <c r="W34" s="37">
        <v>1</v>
      </c>
    </row>
    <row r="35" spans="2:26" s="8" customFormat="1" ht="19.899999999999999" customHeight="1" x14ac:dyDescent="0.25">
      <c r="B35" s="43" t="s">
        <v>42</v>
      </c>
      <c r="C35" s="43"/>
      <c r="D35" s="43"/>
      <c r="E35" s="44">
        <v>55</v>
      </c>
      <c r="F35" s="45">
        <v>21.33</v>
      </c>
      <c r="G35" s="129">
        <v>10</v>
      </c>
      <c r="H35" s="130">
        <v>21.33</v>
      </c>
      <c r="I35" s="130">
        <f t="shared" si="3"/>
        <v>1173.1499999999999</v>
      </c>
      <c r="J35" s="37"/>
      <c r="O35" s="43" t="s">
        <v>43</v>
      </c>
      <c r="P35" s="43"/>
      <c r="Q35" s="43"/>
      <c r="R35" s="49">
        <v>30</v>
      </c>
      <c r="S35" s="45">
        <v>4.7300000000000004</v>
      </c>
      <c r="T35" s="34">
        <v>12</v>
      </c>
      <c r="U35" s="130">
        <f t="shared" si="4"/>
        <v>5.2976000000000001</v>
      </c>
      <c r="V35" s="130">
        <f t="shared" si="5"/>
        <v>158.928</v>
      </c>
      <c r="W35" s="37">
        <v>1</v>
      </c>
    </row>
    <row r="36" spans="2:26" s="8" customFormat="1" ht="19.899999999999999" customHeight="1" x14ac:dyDescent="0.25">
      <c r="B36" s="43" t="s">
        <v>44</v>
      </c>
      <c r="C36" s="43"/>
      <c r="D36" s="43"/>
      <c r="E36" s="50">
        <v>25</v>
      </c>
      <c r="F36" s="45">
        <v>16</v>
      </c>
      <c r="G36" s="129"/>
      <c r="H36" s="130">
        <f t="shared" si="2"/>
        <v>16</v>
      </c>
      <c r="I36" s="130">
        <f t="shared" si="3"/>
        <v>400</v>
      </c>
      <c r="J36" s="37"/>
      <c r="O36" s="43" t="s">
        <v>45</v>
      </c>
      <c r="P36" s="43"/>
      <c r="Q36" s="43"/>
      <c r="R36" s="49">
        <v>120</v>
      </c>
      <c r="S36" s="45">
        <v>1.55</v>
      </c>
      <c r="T36" s="131"/>
      <c r="U36" s="130">
        <f t="shared" si="4"/>
        <v>1.55</v>
      </c>
      <c r="V36" s="130">
        <f t="shared" si="5"/>
        <v>186</v>
      </c>
      <c r="W36" s="37">
        <v>1</v>
      </c>
    </row>
    <row r="37" spans="2:26" s="23" customFormat="1" ht="19.899999999999999" customHeight="1" x14ac:dyDescent="0.25">
      <c r="B37" s="43" t="s">
        <v>46</v>
      </c>
      <c r="C37" s="43"/>
      <c r="D37" s="43"/>
      <c r="E37" s="32">
        <v>60</v>
      </c>
      <c r="F37" s="33">
        <v>29.63</v>
      </c>
      <c r="G37" s="129"/>
      <c r="H37" s="130">
        <f t="shared" si="2"/>
        <v>29.63</v>
      </c>
      <c r="I37" s="130">
        <f t="shared" si="3"/>
        <v>1777.8</v>
      </c>
      <c r="J37" s="37"/>
      <c r="K37" s="22"/>
      <c r="L37" s="22"/>
      <c r="M37" s="22"/>
      <c r="O37" s="43" t="s">
        <v>47</v>
      </c>
      <c r="P37" s="43"/>
      <c r="Q37" s="43"/>
      <c r="R37" s="41">
        <v>120</v>
      </c>
      <c r="S37" s="33">
        <v>5.58</v>
      </c>
      <c r="T37" s="34"/>
      <c r="U37" s="130">
        <f t="shared" si="4"/>
        <v>5.58</v>
      </c>
      <c r="V37" s="130">
        <f t="shared" si="5"/>
        <v>669.6</v>
      </c>
      <c r="W37" s="37">
        <v>1</v>
      </c>
    </row>
    <row r="38" spans="2:26" s="8" customFormat="1" ht="19.899999999999999" customHeight="1" x14ac:dyDescent="0.25">
      <c r="B38" s="53"/>
      <c r="C38" s="54"/>
      <c r="D38" s="54"/>
      <c r="E38" s="55"/>
      <c r="F38" s="132" t="s">
        <v>22</v>
      </c>
      <c r="G38" s="57"/>
      <c r="H38" s="133"/>
      <c r="I38" s="134">
        <f>SUM(I33:I37)</f>
        <v>4294.8599999999997</v>
      </c>
      <c r="J38" s="135"/>
      <c r="O38" s="53"/>
      <c r="P38" s="54"/>
      <c r="Q38" s="54"/>
      <c r="R38" s="55"/>
      <c r="S38" s="56" t="s">
        <v>22</v>
      </c>
      <c r="T38" s="57"/>
      <c r="U38" s="133"/>
      <c r="V38" s="136">
        <f>SUM(V33:V37)</f>
        <v>1610.6559999999999</v>
      </c>
      <c r="W38" s="135"/>
    </row>
    <row r="39" spans="2:26" s="8" customFormat="1" ht="19.899999999999999" customHeight="1" x14ac:dyDescent="0.25">
      <c r="B39" s="137"/>
      <c r="F39" s="132" t="s">
        <v>24</v>
      </c>
      <c r="G39" s="57"/>
      <c r="H39" s="138">
        <v>0.1</v>
      </c>
      <c r="I39" s="139">
        <f>SUM(I33:I37)</f>
        <v>4294.8599999999997</v>
      </c>
      <c r="J39" s="140">
        <f>I38*H39</f>
        <v>429.48599999999999</v>
      </c>
      <c r="O39" s="137"/>
      <c r="S39" s="56" t="s">
        <v>48</v>
      </c>
      <c r="T39" s="57"/>
      <c r="U39" s="141">
        <v>7.0000000000000007E-2</v>
      </c>
      <c r="V39" s="136">
        <f>V38*U39</f>
        <v>112.74592000000001</v>
      </c>
      <c r="W39" s="135"/>
    </row>
    <row r="40" spans="2:26" s="8" customFormat="1" ht="19.899999999999999" customHeight="1" x14ac:dyDescent="0.25">
      <c r="B40" s="142" t="s">
        <v>23</v>
      </c>
      <c r="C40" s="143"/>
      <c r="D40" s="144"/>
      <c r="F40" s="145" t="s">
        <v>27</v>
      </c>
      <c r="G40" s="146"/>
      <c r="H40" s="147"/>
      <c r="I40" s="148">
        <f>I38-J39</f>
        <v>3865.3739999999998</v>
      </c>
      <c r="J40" s="135"/>
      <c r="O40" s="142" t="s">
        <v>23</v>
      </c>
      <c r="P40" s="143"/>
      <c r="Q40" s="144"/>
      <c r="S40" s="56" t="s">
        <v>27</v>
      </c>
      <c r="T40" s="57"/>
      <c r="U40" s="149"/>
      <c r="V40" s="136">
        <f>V38+V39</f>
        <v>1723.40192</v>
      </c>
      <c r="W40" s="135"/>
    </row>
    <row r="41" spans="2:26" s="8" customFormat="1" ht="19.899999999999999" customHeight="1" x14ac:dyDescent="0.25">
      <c r="B41" s="72" t="s">
        <v>25</v>
      </c>
      <c r="C41" s="150" t="s">
        <v>26</v>
      </c>
      <c r="D41" s="150" t="s">
        <v>13</v>
      </c>
      <c r="E41" s="151"/>
      <c r="F41" s="152" t="s">
        <v>28</v>
      </c>
      <c r="G41" s="153"/>
      <c r="H41" s="154">
        <v>0.02</v>
      </c>
      <c r="I41" s="155">
        <f>I40*H41</f>
        <v>77.307479999999998</v>
      </c>
      <c r="J41" s="135"/>
      <c r="O41" s="72" t="s">
        <v>25</v>
      </c>
      <c r="P41" s="73" t="s">
        <v>26</v>
      </c>
      <c r="Q41" s="76" t="s">
        <v>13</v>
      </c>
      <c r="S41" s="56" t="s">
        <v>28</v>
      </c>
      <c r="T41" s="88"/>
      <c r="U41" s="156"/>
      <c r="V41" s="136">
        <f>V40*U41</f>
        <v>0</v>
      </c>
      <c r="W41" s="135"/>
    </row>
    <row r="42" spans="2:26" s="8" customFormat="1" ht="19.899999999999999" customHeight="1" x14ac:dyDescent="0.25">
      <c r="B42" s="157"/>
      <c r="C42" s="86">
        <v>5.5E-2</v>
      </c>
      <c r="D42" s="158">
        <f>B42*C42</f>
        <v>0</v>
      </c>
      <c r="E42" s="93"/>
      <c r="F42" s="159" t="s">
        <v>29</v>
      </c>
      <c r="G42" s="107"/>
      <c r="H42" s="160"/>
      <c r="I42" s="136">
        <f>I40-I41</f>
        <v>3788.0665199999999</v>
      </c>
      <c r="J42" s="135"/>
      <c r="O42" s="85">
        <f>SUM(V33:V37)*0.93</f>
        <v>1497.9100800000001</v>
      </c>
      <c r="P42" s="86">
        <v>5.5E-2</v>
      </c>
      <c r="Q42" s="161">
        <f>O42*P42</f>
        <v>82.385054400000001</v>
      </c>
      <c r="S42" s="56" t="s">
        <v>29</v>
      </c>
      <c r="T42" s="57"/>
      <c r="U42" s="149"/>
      <c r="V42" s="136">
        <f>V40-V41</f>
        <v>1723.40192</v>
      </c>
      <c r="W42" s="135"/>
    </row>
    <row r="43" spans="2:26" s="8" customFormat="1" ht="19.899999999999999" customHeight="1" x14ac:dyDescent="0.25">
      <c r="B43" s="162">
        <f>SUM(I33:I37)</f>
        <v>4294.8599999999997</v>
      </c>
      <c r="C43" s="97">
        <v>0.2</v>
      </c>
      <c r="D43" s="158">
        <f>B43*C43</f>
        <v>858.97199999999998</v>
      </c>
      <c r="E43" s="81"/>
      <c r="F43" s="163" t="s">
        <v>13</v>
      </c>
      <c r="G43" s="57"/>
      <c r="H43" s="156"/>
      <c r="I43" s="136">
        <f>D42+D43</f>
        <v>858.97199999999998</v>
      </c>
      <c r="J43" s="135"/>
      <c r="O43" s="164"/>
      <c r="P43" s="165"/>
      <c r="Q43" s="161"/>
      <c r="S43" s="56" t="s">
        <v>13</v>
      </c>
      <c r="T43" s="57"/>
      <c r="U43" s="156"/>
      <c r="V43" s="136">
        <f>Q42-Q43</f>
        <v>82.385054400000001</v>
      </c>
      <c r="W43" s="135"/>
    </row>
    <row r="44" spans="2:26" s="8" customFormat="1" ht="19.899999999999999" customHeight="1" x14ac:dyDescent="0.25">
      <c r="B44" s="99"/>
      <c r="C44" s="100"/>
      <c r="D44" s="101"/>
      <c r="E44" s="93"/>
      <c r="F44" s="166" t="s">
        <v>30</v>
      </c>
      <c r="G44" s="167"/>
      <c r="H44" s="168"/>
      <c r="I44" s="169">
        <f>I42+I43</f>
        <v>4647.0385200000001</v>
      </c>
      <c r="J44" s="170"/>
      <c r="O44" s="99"/>
      <c r="P44" s="100"/>
      <c r="Q44" s="101"/>
      <c r="S44" s="106" t="s">
        <v>30</v>
      </c>
      <c r="T44" s="107"/>
      <c r="U44" s="171"/>
      <c r="V44" s="136">
        <f>V42-V43</f>
        <v>1641.0168656000001</v>
      </c>
      <c r="W44" s="170"/>
    </row>
    <row r="45" spans="2:26" s="8" customFormat="1" ht="16.899999999999999" customHeight="1" x14ac:dyDescent="0.25">
      <c r="F45" s="54"/>
      <c r="G45" s="54"/>
      <c r="H45" s="110"/>
      <c r="I45" s="172"/>
      <c r="J45" s="172"/>
      <c r="S45" s="54"/>
      <c r="T45" s="54"/>
      <c r="U45" s="110"/>
      <c r="V45" s="172"/>
      <c r="W45" s="172"/>
    </row>
    <row r="46" spans="2:26" ht="25.15" customHeight="1" x14ac:dyDescent="0.25">
      <c r="B46" s="113" t="s">
        <v>31</v>
      </c>
      <c r="C46" s="114"/>
      <c r="D46" s="114"/>
      <c r="E46" s="114"/>
      <c r="F46" s="115"/>
      <c r="G46" s="116" t="s">
        <v>32</v>
      </c>
      <c r="H46" s="116"/>
      <c r="I46" s="116"/>
      <c r="J46" s="116"/>
      <c r="K46" s="116"/>
      <c r="L46" s="116"/>
      <c r="M46" s="116"/>
      <c r="O46" s="113" t="s">
        <v>31</v>
      </c>
      <c r="P46" s="114"/>
      <c r="Q46" s="114"/>
      <c r="R46" s="114"/>
      <c r="S46" s="115"/>
      <c r="T46" s="116" t="s">
        <v>32</v>
      </c>
      <c r="U46" s="116"/>
      <c r="V46" s="116"/>
      <c r="W46" s="116"/>
      <c r="X46" s="116"/>
      <c r="Y46" s="116"/>
      <c r="Z46" s="116"/>
    </row>
    <row r="47" spans="2:26" ht="60" customHeight="1" x14ac:dyDescent="0.25">
      <c r="B47" s="117"/>
      <c r="C47" s="118"/>
      <c r="D47" s="118"/>
      <c r="E47" s="118"/>
      <c r="F47" s="119"/>
      <c r="G47" s="120"/>
      <c r="H47" s="120"/>
      <c r="I47" s="120"/>
      <c r="J47" s="120"/>
      <c r="K47" s="120"/>
      <c r="L47" s="120"/>
      <c r="M47" s="120"/>
      <c r="O47" s="117"/>
      <c r="P47" s="118"/>
      <c r="Q47" s="118"/>
      <c r="R47" s="118"/>
      <c r="S47" s="119"/>
      <c r="T47" s="120"/>
      <c r="U47" s="120"/>
      <c r="V47" s="120"/>
      <c r="W47" s="120"/>
      <c r="X47" s="120"/>
      <c r="Y47" s="120"/>
      <c r="Z47" s="120"/>
    </row>
    <row r="48" spans="2:26" ht="60" customHeight="1" x14ac:dyDescent="0.25">
      <c r="B48" s="117"/>
      <c r="C48" s="118"/>
      <c r="D48" s="118"/>
      <c r="E48" s="118"/>
      <c r="F48" s="119"/>
      <c r="G48" s="120"/>
      <c r="H48" s="120"/>
      <c r="I48" s="120"/>
      <c r="J48" s="120"/>
      <c r="K48" s="120"/>
      <c r="L48" s="120"/>
      <c r="M48" s="120"/>
      <c r="O48" s="117"/>
      <c r="P48" s="118"/>
      <c r="Q48" s="118"/>
      <c r="R48" s="118"/>
      <c r="S48" s="119"/>
      <c r="T48" s="120"/>
      <c r="U48" s="120"/>
      <c r="V48" s="120"/>
      <c r="W48" s="120"/>
      <c r="X48" s="120"/>
      <c r="Y48" s="120"/>
      <c r="Z48" s="120"/>
    </row>
    <row r="49" spans="2:26" ht="60" customHeight="1" x14ac:dyDescent="0.25">
      <c r="B49" s="117"/>
      <c r="C49" s="118"/>
      <c r="D49" s="118"/>
      <c r="E49" s="118"/>
      <c r="F49" s="119"/>
      <c r="G49" s="120"/>
      <c r="H49" s="120"/>
      <c r="I49" s="120"/>
      <c r="J49" s="120"/>
      <c r="K49" s="120"/>
      <c r="L49" s="120"/>
      <c r="M49" s="120"/>
      <c r="O49" s="117"/>
      <c r="P49" s="118"/>
      <c r="Q49" s="118"/>
      <c r="R49" s="118"/>
      <c r="S49" s="119"/>
      <c r="T49" s="120"/>
      <c r="U49" s="120"/>
      <c r="V49" s="120"/>
      <c r="W49" s="120"/>
      <c r="X49" s="120"/>
      <c r="Y49" s="120"/>
      <c r="Z49" s="120"/>
    </row>
    <row r="50" spans="2:26" ht="58.9" customHeight="1" x14ac:dyDescent="0.25">
      <c r="B50" s="117"/>
      <c r="C50" s="118"/>
      <c r="D50" s="118"/>
      <c r="E50" s="118"/>
      <c r="F50" s="119"/>
      <c r="G50" s="120"/>
      <c r="H50" s="120"/>
      <c r="I50" s="120"/>
      <c r="J50" s="120"/>
      <c r="K50" s="120"/>
      <c r="L50" s="120"/>
      <c r="M50" s="120"/>
    </row>
    <row r="1048464" s="8" customFormat="1" ht="12.75" customHeight="1" x14ac:dyDescent="0.25"/>
    <row r="1048465" s="8" customFormat="1" ht="12.75" customHeight="1" x14ac:dyDescent="0.25"/>
    <row r="1048466" s="8" customFormat="1" ht="12.75" customHeight="1" x14ac:dyDescent="0.25"/>
    <row r="1048467" s="8" customFormat="1" ht="12.75" customHeight="1" x14ac:dyDescent="0.25"/>
    <row r="1048468" s="8" customFormat="1" ht="12.75" customHeight="1" x14ac:dyDescent="0.25"/>
    <row r="1048469" s="8" customFormat="1" ht="12.75" customHeight="1" x14ac:dyDescent="0.25"/>
    <row r="1048470" s="8" customFormat="1" ht="12.75" customHeight="1" x14ac:dyDescent="0.25"/>
    <row r="1048471" s="8" customFormat="1" ht="12.75" customHeight="1" x14ac:dyDescent="0.25"/>
    <row r="1048472" s="8" customFormat="1" ht="12.75" customHeight="1" x14ac:dyDescent="0.25"/>
    <row r="1048473" s="8" customFormat="1" ht="12.75" customHeight="1" x14ac:dyDescent="0.25"/>
    <row r="1048474" s="8" customFormat="1" ht="12.75" customHeight="1" x14ac:dyDescent="0.25"/>
    <row r="1048475" s="8" customFormat="1" ht="12.75" customHeight="1" x14ac:dyDescent="0.25"/>
    <row r="1048476" s="8" customFormat="1" ht="12.75" customHeight="1" x14ac:dyDescent="0.25"/>
    <row r="1048477" s="8" customFormat="1" ht="12.75" customHeight="1" x14ac:dyDescent="0.25"/>
    <row r="1048478" s="8" customFormat="1" ht="12.75" customHeight="1" x14ac:dyDescent="0.25"/>
    <row r="1048479" s="8" customFormat="1" ht="12.75" customHeight="1" x14ac:dyDescent="0.25"/>
    <row r="1048480" s="8" customFormat="1" ht="12.75" customHeight="1" x14ac:dyDescent="0.25"/>
    <row r="1048481" s="8" customFormat="1" ht="12.75" customHeight="1" x14ac:dyDescent="0.25"/>
    <row r="1048482" s="8" customFormat="1" ht="12.75" customHeight="1" x14ac:dyDescent="0.25"/>
    <row r="1048483" s="8" customFormat="1" ht="12.75" customHeight="1" x14ac:dyDescent="0.25"/>
    <row r="1048484" s="8" customFormat="1" ht="12.75" customHeight="1" x14ac:dyDescent="0.25"/>
    <row r="1048485" s="8" customFormat="1" ht="12.75" customHeight="1" x14ac:dyDescent="0.25"/>
    <row r="1048486" s="8" customFormat="1" ht="12.75" customHeight="1" x14ac:dyDescent="0.25"/>
    <row r="1048487" s="8" customFormat="1" ht="12.75" customHeight="1" x14ac:dyDescent="0.25"/>
    <row r="1048488" s="8" customFormat="1" ht="12.75" customHeight="1" x14ac:dyDescent="0.25"/>
    <row r="1048489" s="8" customFormat="1" ht="12.75" customHeight="1" x14ac:dyDescent="0.25"/>
    <row r="1048490" s="8" customFormat="1" ht="12.75" customHeight="1" x14ac:dyDescent="0.25"/>
    <row r="1048491" s="8" customFormat="1" ht="12.75" customHeight="1" x14ac:dyDescent="0.25"/>
    <row r="1048492" s="8" customFormat="1" ht="12.75" customHeight="1" x14ac:dyDescent="0.25"/>
    <row r="1048493" s="8" customFormat="1" ht="12.75" customHeight="1" x14ac:dyDescent="0.25"/>
    <row r="1048494" s="8" customFormat="1" ht="12.75" customHeight="1" x14ac:dyDescent="0.25"/>
    <row r="1048495" s="8" customFormat="1" ht="12.75" customHeight="1" x14ac:dyDescent="0.25"/>
    <row r="1048496" s="8" customFormat="1" ht="12.75" customHeight="1" x14ac:dyDescent="0.25"/>
    <row r="1048497" s="8" customFormat="1" ht="12.75" customHeight="1" x14ac:dyDescent="0.25"/>
    <row r="1048498" s="8" customFormat="1" ht="12.75" customHeight="1" x14ac:dyDescent="0.25"/>
    <row r="1048499" s="8" customFormat="1" ht="12.75" customHeight="1" x14ac:dyDescent="0.25"/>
    <row r="1048500" s="8" customFormat="1" ht="12.75" customHeight="1" x14ac:dyDescent="0.25"/>
    <row r="1048501" s="8" customFormat="1" ht="12.75" customHeight="1" x14ac:dyDescent="0.25"/>
    <row r="1048502" s="8" customFormat="1" ht="12.75" customHeight="1" x14ac:dyDescent="0.25"/>
    <row r="1048503" s="8" customFormat="1" ht="12.75" customHeight="1" x14ac:dyDescent="0.25"/>
    <row r="1048504" s="8" customFormat="1" ht="12.75" customHeight="1" x14ac:dyDescent="0.25"/>
    <row r="1048505" s="8" customFormat="1" ht="12.75" customHeight="1" x14ac:dyDescent="0.25"/>
    <row r="1048506" s="8" customFormat="1" ht="12.75" customHeight="1" x14ac:dyDescent="0.25"/>
    <row r="1048507" s="8" customFormat="1" ht="12.75" customHeight="1" x14ac:dyDescent="0.25"/>
    <row r="1048508" s="8" customFormat="1" ht="12.75" customHeight="1" x14ac:dyDescent="0.25"/>
    <row r="1048509" s="8" customFormat="1" ht="12.75" customHeight="1" x14ac:dyDescent="0.25"/>
    <row r="1048510" s="8" customFormat="1" ht="12.75" customHeight="1" x14ac:dyDescent="0.25"/>
    <row r="1048511" s="8" customFormat="1" ht="12.75" customHeight="1" x14ac:dyDescent="0.25"/>
    <row r="1048512" s="8" customFormat="1" ht="12.75" customHeight="1" x14ac:dyDescent="0.25"/>
    <row r="1048513" s="8" customFormat="1" ht="12.75" customHeight="1" x14ac:dyDescent="0.25"/>
    <row r="1048514" s="8" customFormat="1" ht="12.75" customHeight="1" x14ac:dyDescent="0.25"/>
    <row r="1048515" s="8" customFormat="1" ht="12.75" customHeight="1" x14ac:dyDescent="0.25"/>
    <row r="1048516" s="8" customFormat="1" ht="12.75" customHeight="1" x14ac:dyDescent="0.25"/>
    <row r="1048517" s="8" customFormat="1" ht="12.75" customHeight="1" x14ac:dyDescent="0.25"/>
    <row r="1048518" s="8" customFormat="1" ht="12.75" customHeight="1" x14ac:dyDescent="0.25"/>
    <row r="1048519" s="8" customFormat="1" ht="12.75" customHeight="1" x14ac:dyDescent="0.25"/>
    <row r="1048520" s="8" customFormat="1" ht="12.75" customHeight="1" x14ac:dyDescent="0.25"/>
    <row r="1048521" s="8" customFormat="1" ht="12.75" customHeight="1" x14ac:dyDescent="0.25"/>
    <row r="1048522" s="8" customFormat="1" ht="12.75" customHeight="1" x14ac:dyDescent="0.25"/>
    <row r="1048523" s="8" customFormat="1" ht="12.75" customHeight="1" x14ac:dyDescent="0.25"/>
    <row r="1048524" s="8" customFormat="1" ht="12.75" customHeight="1" x14ac:dyDescent="0.25"/>
    <row r="1048525" s="8" customFormat="1" ht="12.75" customHeight="1" x14ac:dyDescent="0.25"/>
    <row r="1048526" s="8" customFormat="1" ht="12.75" customHeight="1" x14ac:dyDescent="0.25"/>
    <row r="1048527" s="8" customFormat="1" ht="12.75" customHeight="1" x14ac:dyDescent="0.25"/>
    <row r="1048528" s="8" customFormat="1" ht="12.75" customHeight="1" x14ac:dyDescent="0.25"/>
    <row r="1048529" s="8" customFormat="1" ht="12.75" customHeight="1" x14ac:dyDescent="0.25"/>
    <row r="1048530" s="8" customFormat="1" ht="12.75" customHeight="1" x14ac:dyDescent="0.25"/>
    <row r="1048531" s="8" customFormat="1" ht="12.75" customHeight="1" x14ac:dyDescent="0.25"/>
    <row r="1048532" s="8" customFormat="1" ht="12.75" customHeight="1" x14ac:dyDescent="0.25"/>
    <row r="1048533" s="8" customFormat="1" ht="12.75" customHeight="1" x14ac:dyDescent="0.25"/>
    <row r="1048534" s="8" customFormat="1" ht="12.75" customHeight="1" x14ac:dyDescent="0.25"/>
  </sheetData>
  <mergeCells count="86">
    <mergeCell ref="B49:F49"/>
    <mergeCell ref="G49:M49"/>
    <mergeCell ref="O49:S49"/>
    <mergeCell ref="T49:Z49"/>
    <mergeCell ref="B50:F50"/>
    <mergeCell ref="G50:M50"/>
    <mergeCell ref="B47:F47"/>
    <mergeCell ref="G47:M47"/>
    <mergeCell ref="O47:S47"/>
    <mergeCell ref="T47:Z47"/>
    <mergeCell ref="B48:F48"/>
    <mergeCell ref="G48:M48"/>
    <mergeCell ref="O48:S48"/>
    <mergeCell ref="T48:Z48"/>
    <mergeCell ref="B40:D40"/>
    <mergeCell ref="O40:Q40"/>
    <mergeCell ref="B46:F46"/>
    <mergeCell ref="G46:M46"/>
    <mergeCell ref="O46:S46"/>
    <mergeCell ref="T46:Z46"/>
    <mergeCell ref="B35:D35"/>
    <mergeCell ref="O35:Q35"/>
    <mergeCell ref="B36:D36"/>
    <mergeCell ref="O36:Q36"/>
    <mergeCell ref="B37:D37"/>
    <mergeCell ref="O37:Q37"/>
    <mergeCell ref="B32:D32"/>
    <mergeCell ref="O32:Q32"/>
    <mergeCell ref="B33:D33"/>
    <mergeCell ref="O33:Q33"/>
    <mergeCell ref="B34:D34"/>
    <mergeCell ref="O34:Q34"/>
    <mergeCell ref="B28:J28"/>
    <mergeCell ref="O28:W28"/>
    <mergeCell ref="B29:J29"/>
    <mergeCell ref="O29:W29"/>
    <mergeCell ref="B31:I31"/>
    <mergeCell ref="O31:V31"/>
    <mergeCell ref="B24:C24"/>
    <mergeCell ref="D24:F24"/>
    <mergeCell ref="G24:I24"/>
    <mergeCell ref="O24:S24"/>
    <mergeCell ref="T24:Z24"/>
    <mergeCell ref="B25:C25"/>
    <mergeCell ref="D25:F25"/>
    <mergeCell ref="G25:I25"/>
    <mergeCell ref="B22:F22"/>
    <mergeCell ref="G22:M22"/>
    <mergeCell ref="O22:S22"/>
    <mergeCell ref="T22:Z22"/>
    <mergeCell ref="B23:F23"/>
    <mergeCell ref="G23:M23"/>
    <mergeCell ref="O23:S23"/>
    <mergeCell ref="T23:Z23"/>
    <mergeCell ref="B20:F20"/>
    <mergeCell ref="G20:M20"/>
    <mergeCell ref="O20:S20"/>
    <mergeCell ref="T20:Z20"/>
    <mergeCell ref="B21:F21"/>
    <mergeCell ref="G21:M21"/>
    <mergeCell ref="O21:S21"/>
    <mergeCell ref="T21:Z21"/>
    <mergeCell ref="I14:J14"/>
    <mergeCell ref="F15:G15"/>
    <mergeCell ref="I15:J15"/>
    <mergeCell ref="I16:J16"/>
    <mergeCell ref="I17:J17"/>
    <mergeCell ref="I18:J18"/>
    <mergeCell ref="B10:D10"/>
    <mergeCell ref="O10:Q10"/>
    <mergeCell ref="B11:D11"/>
    <mergeCell ref="O11:Q11"/>
    <mergeCell ref="I12:J12"/>
    <mergeCell ref="I13:J13"/>
    <mergeCell ref="B7:D7"/>
    <mergeCell ref="O7:Q7"/>
    <mergeCell ref="B8:D8"/>
    <mergeCell ref="O8:Q8"/>
    <mergeCell ref="B9:D9"/>
    <mergeCell ref="O9:Q9"/>
    <mergeCell ref="B3:J3"/>
    <mergeCell ref="O3:W3"/>
    <mergeCell ref="B4:J4"/>
    <mergeCell ref="O4:W4"/>
    <mergeCell ref="B6:J6"/>
    <mergeCell ref="O6:V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Nelly DOUCET</dc:creator>
  <cp:lastModifiedBy>Nelly DOUCET</cp:lastModifiedBy>
  <dcterms:created xsi:type="dcterms:W3CDTF">2024-03-25T15:19:57Z</dcterms:created>
  <dcterms:modified xsi:type="dcterms:W3CDTF">2024-03-25T15:20:43Z</dcterms:modified>
</cp:coreProperties>
</file>