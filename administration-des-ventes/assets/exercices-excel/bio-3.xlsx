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ssier_ancien_pc\Documents Nelly\02. SECRETAIRE COMPTABLE\02. ADMINISTRATION DES VENTES\2025\1. ADV\"/>
    </mc:Choice>
  </mc:AlternateContent>
  <xr:revisionPtr revIDLastSave="0" documentId="13_ncr:1_{04019183-5107-4F58-994D-75A569058B3C}" xr6:coauthVersionLast="47" xr6:coauthVersionMax="47" xr10:uidLastSave="{00000000-0000-0000-0000-000000000000}"/>
  <bookViews>
    <workbookView xWindow="28680" yWindow="-120" windowWidth="29040" windowHeight="15720" xr2:uid="{0EEC4F23-4DD4-45DA-88EF-BB0192E686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I36" i="1"/>
  <c r="I30" i="1"/>
  <c r="I31" i="1"/>
  <c r="I32" i="1"/>
  <c r="I33" i="1"/>
  <c r="I34" i="1"/>
  <c r="I35" i="1"/>
  <c r="H30" i="1"/>
  <c r="H31" i="1"/>
  <c r="H32" i="1"/>
  <c r="H33" i="1"/>
  <c r="H34" i="1"/>
  <c r="H35" i="1"/>
  <c r="H29" i="1"/>
  <c r="I29" i="1" s="1"/>
  <c r="G14" i="1"/>
  <c r="H14" i="1" s="1"/>
  <c r="F14" i="1"/>
  <c r="F13" i="1"/>
  <c r="G13" i="1" s="1"/>
  <c r="H13" i="1" s="1"/>
  <c r="F12" i="1"/>
  <c r="G12" i="1" s="1"/>
  <c r="H12" i="1" s="1"/>
  <c r="H11" i="1"/>
  <c r="G11" i="1"/>
  <c r="F11" i="1"/>
  <c r="G10" i="1"/>
  <c r="H10" i="1" s="1"/>
  <c r="F10" i="1"/>
  <c r="H16" i="1" l="1"/>
  <c r="H17" i="1" s="1"/>
  <c r="I37" i="1" l="1"/>
  <c r="I39" i="1" l="1"/>
  <c r="I40" i="1" s="1"/>
  <c r="D40" i="1" l="1"/>
  <c r="I42" i="1" s="1"/>
</calcChain>
</file>

<file path=xl/sharedStrings.xml><?xml version="1.0" encoding="utf-8"?>
<sst xmlns="http://schemas.openxmlformats.org/spreadsheetml/2006/main" count="75" uniqueCount="60">
  <si>
    <t xml:space="preserve">CLIENT : BEL VERTE    </t>
  </si>
  <si>
    <t>Compte comptable…........................</t>
  </si>
  <si>
    <t>CONDITIONS DE VENTE</t>
  </si>
  <si>
    <t xml:space="preserve">Remise de 8 % Pizzas fromages – Remise de 10 % Pizzas Jambon </t>
  </si>
  <si>
    <t>Escompte de 02 % - TVA de 5,5 %</t>
  </si>
  <si>
    <t>Trouve les formules à saisir sur tableur</t>
  </si>
  <si>
    <t>F A C T U R E</t>
  </si>
  <si>
    <t>LIBELLÉ</t>
  </si>
  <si>
    <t>QTÉ</t>
  </si>
  <si>
    <t>PU</t>
  </si>
  <si>
    <t>REMISE
en %</t>
  </si>
  <si>
    <r>
      <t xml:space="preserve">REMISE </t>
    </r>
    <r>
      <rPr>
        <vertAlign val="superscript"/>
        <sz val="12"/>
        <color theme="1"/>
        <rFont val="Calibri"/>
        <family val="2"/>
        <scheme val="minor"/>
      </rPr>
      <t>(1)</t>
    </r>
  </si>
  <si>
    <r>
      <t xml:space="preserve">PU NET
</t>
    </r>
    <r>
      <rPr>
        <vertAlign val="superscript"/>
        <sz val="12"/>
        <color theme="1"/>
        <rFont val="Calibri"/>
        <family val="2"/>
        <scheme val="minor"/>
      </rPr>
      <t>(2)</t>
    </r>
  </si>
  <si>
    <t>MONTANT</t>
  </si>
  <si>
    <t>F9</t>
  </si>
  <si>
    <t>Pizza 3 fromages 150g</t>
  </si>
  <si>
    <t>Pizza 3 fromages 350g</t>
  </si>
  <si>
    <t>G9</t>
  </si>
  <si>
    <t>Pizza 4 saisons 150g</t>
  </si>
  <si>
    <t>Pizza jambon 150g</t>
  </si>
  <si>
    <t>H9</t>
  </si>
  <si>
    <t>Pizza jambon 300g</t>
  </si>
  <si>
    <t>Pizza margarita 150g</t>
  </si>
  <si>
    <t>H15</t>
  </si>
  <si>
    <t>Détails &amp; vérification calculs</t>
  </si>
  <si>
    <t>NET COMMERCIAL</t>
  </si>
  <si>
    <r>
      <rPr>
        <vertAlign val="superscript"/>
        <sz val="12"/>
        <color theme="1"/>
        <rFont val="Calibri"/>
        <family val="2"/>
        <scheme val="minor"/>
      </rPr>
      <t>(1)</t>
    </r>
  </si>
  <si>
    <t>Escompte</t>
  </si>
  <si>
    <t>TAUX :</t>
  </si>
  <si>
    <t>H18</t>
  </si>
  <si>
    <t>NET FINANCIER</t>
  </si>
  <si>
    <r>
      <rPr>
        <vertAlign val="superscript"/>
        <sz val="12"/>
        <color theme="1"/>
        <rFont val="Calibri"/>
        <family val="2"/>
        <scheme val="minor"/>
      </rPr>
      <t>(2)</t>
    </r>
  </si>
  <si>
    <t>TVA</t>
  </si>
  <si>
    <t>H19</t>
  </si>
  <si>
    <t>TOTAL TTC</t>
  </si>
  <si>
    <t>CLIENT : DÉLICES BIO Le Bouscat</t>
  </si>
  <si>
    <t>Remise globale de 9 % - Escompte de 2 % - TVA 5,5 % Alimentation - TVA 20 % beauté - hygiène</t>
  </si>
  <si>
    <t>REMISE
 %</t>
  </si>
  <si>
    <t>PU NET</t>
  </si>
  <si>
    <t>tva</t>
  </si>
  <si>
    <t>Brousse de brebis 500 gr</t>
  </si>
  <si>
    <t>H28</t>
  </si>
  <si>
    <t>Buche de chevre 150 gr</t>
  </si>
  <si>
    <t>Camembert 45% mg montsurs 250 gr</t>
  </si>
  <si>
    <t>I28</t>
  </si>
  <si>
    <t>Camembert allege 25% mg 250 gr</t>
  </si>
  <si>
    <t>Camembert lait pasteurise 250 gr</t>
  </si>
  <si>
    <t>B40</t>
  </si>
  <si>
    <t>Camembert lait plaisirs 250 gr</t>
  </si>
  <si>
    <t>Cappeletti epinard 250 gr</t>
  </si>
  <si>
    <t>D40</t>
  </si>
  <si>
    <t>Carotte lavee 500 gr</t>
  </si>
  <si>
    <t>I38</t>
  </si>
  <si>
    <t>Remise        %</t>
  </si>
  <si>
    <t>CALCUL MONTANT TVA</t>
  </si>
  <si>
    <r>
      <t>2</t>
    </r>
    <r>
      <rPr>
        <vertAlign val="superscript"/>
        <sz val="12"/>
        <color theme="1"/>
        <rFont val="Calibri"/>
        <family val="2"/>
        <scheme val="minor"/>
      </rPr>
      <t>ème</t>
    </r>
    <r>
      <rPr>
        <sz val="12"/>
        <color theme="1"/>
        <rFont val="Calibri"/>
        <family val="2"/>
        <scheme val="minor"/>
      </rPr>
      <t xml:space="preserve"> NET COMMERCIAL</t>
    </r>
  </si>
  <si>
    <t>I41</t>
  </si>
  <si>
    <t>BASE</t>
  </si>
  <si>
    <t>TAUX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</si>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</sst>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0.0%"/>
    <numFmt numFmtId="165" formatCode="00%"/>
    <numFmt numFmtId="166" formatCode="_-* #,##0.00\ _€_-;\-* #,##0.00\ _€_-;_-* &quot;-&quot;??\ _€_-;_-@_-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ED1C24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9" fontId="9" fillId="0" borderId="3" xfId="2" applyFont="1" applyBorder="1" applyAlignment="1">
      <alignment horizontal="center" vertical="center"/>
    </xf>
    <xf numFmtId="4" fontId="9" fillId="0" borderId="3" xfId="0" applyNumberFormat="1" applyFont="1" applyBorder="1" applyAlignment="1">
      <alignment vertical="center"/>
    </xf>
    <xf numFmtId="43" fontId="9" fillId="0" borderId="3" xfId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horizontal="left" vertical="center" indent="1"/>
    </xf>
    <xf numFmtId="0" fontId="6" fillId="0" borderId="10" xfId="0" applyFont="1" applyBorder="1" applyAlignment="1">
      <alignment vertical="center"/>
    </xf>
    <xf numFmtId="164" fontId="6" fillId="0" borderId="7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65" fontId="6" fillId="0" borderId="7" xfId="0" applyNumberFormat="1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right" vertical="center"/>
    </xf>
    <xf numFmtId="0" fontId="10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vertical="center"/>
    </xf>
    <xf numFmtId="164" fontId="6" fillId="0" borderId="14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horizontal="left" vertical="center" indent="1"/>
    </xf>
    <xf numFmtId="4" fontId="11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9" fontId="12" fillId="0" borderId="15" xfId="2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 wrapText="1"/>
    </xf>
    <xf numFmtId="0" fontId="9" fillId="0" borderId="15" xfId="1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2" fontId="6" fillId="0" borderId="1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indent="1"/>
    </xf>
    <xf numFmtId="0" fontId="6" fillId="0" borderId="23" xfId="0" applyFont="1" applyBorder="1" applyAlignment="1">
      <alignment horizontal="left" vertical="center" indent="1"/>
    </xf>
    <xf numFmtId="164" fontId="6" fillId="0" borderId="7" xfId="0" applyNumberFormat="1" applyFont="1" applyBorder="1" applyAlignment="1">
      <alignment horizontal="left" vertical="center" indent="1"/>
    </xf>
    <xf numFmtId="166" fontId="9" fillId="0" borderId="0" xfId="0" applyNumberFormat="1" applyFont="1" applyAlignment="1">
      <alignment horizontal="center" vertical="center" wrapText="1"/>
    </xf>
    <xf numFmtId="0" fontId="6" fillId="0" borderId="25" xfId="0" applyFont="1" applyBorder="1" applyAlignment="1">
      <alignment horizontal="left" vertical="center" indent="1"/>
    </xf>
    <xf numFmtId="9" fontId="6" fillId="0" borderId="6" xfId="2" applyFont="1" applyBorder="1" applyAlignment="1">
      <alignment horizontal="left" vertical="center" indent="1"/>
    </xf>
    <xf numFmtId="164" fontId="11" fillId="0" borderId="10" xfId="0" applyNumberFormat="1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4" borderId="28" xfId="0" applyFont="1" applyFill="1" applyBorder="1" applyAlignment="1">
      <alignment horizontal="center" vertical="center"/>
    </xf>
    <xf numFmtId="9" fontId="6" fillId="0" borderId="6" xfId="2" applyFont="1" applyBorder="1" applyAlignment="1">
      <alignment horizontal="right" vertical="center" indent="1"/>
    </xf>
    <xf numFmtId="164" fontId="11" fillId="0" borderId="7" xfId="0" applyNumberFormat="1" applyFont="1" applyBorder="1" applyAlignment="1">
      <alignment horizontal="center" vertical="center"/>
    </xf>
    <xf numFmtId="4" fontId="13" fillId="3" borderId="29" xfId="0" applyNumberFormat="1" applyFont="1" applyFill="1" applyBorder="1" applyAlignment="1">
      <alignment vertical="center"/>
    </xf>
    <xf numFmtId="167" fontId="13" fillId="3" borderId="0" xfId="2" applyNumberFormat="1" applyFont="1" applyFill="1" applyBorder="1" applyAlignment="1">
      <alignment horizontal="center" vertical="center"/>
    </xf>
    <xf numFmtId="43" fontId="13" fillId="3" borderId="30" xfId="1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25" xfId="0" applyFont="1" applyFill="1" applyBorder="1" applyAlignment="1">
      <alignment horizontal="left" vertical="center" indent="1"/>
    </xf>
    <xf numFmtId="0" fontId="6" fillId="3" borderId="16" xfId="0" applyFont="1" applyFill="1" applyBorder="1" applyAlignment="1">
      <alignment vertical="center"/>
    </xf>
    <xf numFmtId="9" fontId="6" fillId="3" borderId="0" xfId="2" applyFont="1" applyFill="1" applyAlignment="1">
      <alignment horizontal="center" vertical="center"/>
    </xf>
    <xf numFmtId="167" fontId="6" fillId="3" borderId="2" xfId="2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left" vertical="center" indent="1"/>
    </xf>
    <xf numFmtId="0" fontId="6" fillId="0" borderId="34" xfId="0" applyFont="1" applyBorder="1" applyAlignment="1">
      <alignment horizontal="left" vertical="center" indent="1"/>
    </xf>
    <xf numFmtId="164" fontId="6" fillId="0" borderId="35" xfId="0" applyNumberFormat="1" applyFont="1" applyBorder="1" applyAlignment="1">
      <alignment horizontal="left" vertical="center" indent="1"/>
    </xf>
    <xf numFmtId="43" fontId="6" fillId="0" borderId="0" xfId="0" applyNumberFormat="1" applyFont="1" applyAlignment="1">
      <alignment vertical="center"/>
    </xf>
    <xf numFmtId="9" fontId="6" fillId="0" borderId="6" xfId="2" applyFont="1" applyBorder="1" applyAlignment="1">
      <alignment horizontal="right" vertical="center"/>
    </xf>
    <xf numFmtId="0" fontId="6" fillId="0" borderId="15" xfId="0" applyFont="1" applyBorder="1" applyAlignment="1">
      <alignment vertical="center" wrapText="1"/>
    </xf>
    <xf numFmtId="2" fontId="6" fillId="0" borderId="15" xfId="0" applyNumberFormat="1" applyFont="1" applyBorder="1" applyAlignment="1">
      <alignment horizontal="center" vertical="center" wrapText="1"/>
    </xf>
    <xf numFmtId="166" fontId="6" fillId="0" borderId="0" xfId="0" applyNumberFormat="1" applyFont="1" applyAlignment="1">
      <alignment vertical="center"/>
    </xf>
    <xf numFmtId="0" fontId="6" fillId="0" borderId="2" xfId="0" quotePrefix="1" applyFont="1" applyBorder="1" applyAlignment="1">
      <alignment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166" fontId="9" fillId="0" borderId="16" xfId="0" applyNumberFormat="1" applyFont="1" applyBorder="1" applyAlignment="1">
      <alignment horizontal="center" vertical="center" wrapText="1"/>
    </xf>
    <xf numFmtId="166" fontId="9" fillId="0" borderId="18" xfId="0" applyNumberFormat="1" applyFont="1" applyBorder="1" applyAlignment="1">
      <alignment horizontal="center" vertical="center" wrapText="1"/>
    </xf>
    <xf numFmtId="166" fontId="9" fillId="0" borderId="24" xfId="0" applyNumberFormat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wrapText="1"/>
    </xf>
    <xf numFmtId="0" fontId="6" fillId="0" borderId="2" xfId="0" quotePrefix="1" applyFont="1" applyBorder="1" applyAlignment="1">
      <alignment vertical="center"/>
    </xf>
    <xf numFmtId="166" fontId="6" fillId="0" borderId="2" xfId="0" applyNumberFormat="1" applyFont="1" applyBorder="1" applyAlignment="1">
      <alignment vertical="center"/>
    </xf>
    <xf numFmtId="43" fontId="6" fillId="0" borderId="2" xfId="0" applyNumberFormat="1" applyFont="1" applyBorder="1" applyAlignment="1">
      <alignment vertical="center"/>
    </xf>
    <xf numFmtId="43" fontId="6" fillId="0" borderId="2" xfId="1" applyFont="1" applyBorder="1" applyAlignment="1">
      <alignment vertical="center"/>
    </xf>
    <xf numFmtId="43" fontId="6" fillId="0" borderId="0" xfId="1" applyFont="1" applyAlignment="1">
      <alignment vertical="center"/>
    </xf>
    <xf numFmtId="0" fontId="6" fillId="0" borderId="0" xfId="0" quotePrefix="1" applyFont="1" applyAlignment="1">
      <alignment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F117-3AB7-4349-A6D6-1A22C15F42CA}">
  <dimension ref="B2:AME1048418"/>
  <sheetViews>
    <sheetView tabSelected="1" topLeftCell="A26" zoomScale="120" zoomScaleNormal="120" workbookViewId="0">
      <selection activeCell="N28" sqref="N28:AA39"/>
    </sheetView>
  </sheetViews>
  <sheetFormatPr baseColWidth="10" defaultColWidth="12.88671875" defaultRowHeight="21" x14ac:dyDescent="0.3"/>
  <cols>
    <col min="1" max="1" width="4.33203125" style="8" customWidth="1"/>
    <col min="2" max="2" width="39.88671875" style="7" customWidth="1"/>
    <col min="3" max="3" width="8.88671875" style="7" customWidth="1"/>
    <col min="4" max="4" width="13.5546875" style="7" customWidth="1"/>
    <col min="5" max="5" width="10.33203125" style="7" customWidth="1"/>
    <col min="6" max="8" width="14.33203125" style="7" customWidth="1"/>
    <col min="9" max="9" width="14.5546875" style="7" customWidth="1"/>
    <col min="10" max="10" width="9.33203125" style="5" customWidth="1"/>
    <col min="11" max="11" width="3.6640625" style="5" customWidth="1"/>
    <col min="12" max="12" width="25.33203125" style="7" customWidth="1"/>
    <col min="13" max="1019" width="12.33203125" style="7" customWidth="1"/>
    <col min="1020" max="16384" width="12.88671875" style="8"/>
  </cols>
  <sheetData>
    <row r="2" spans="2:1019" s="6" customFormat="1" ht="32.4" customHeight="1" x14ac:dyDescent="0.35">
      <c r="B2" s="1" t="s">
        <v>0</v>
      </c>
      <c r="C2" s="1"/>
      <c r="D2" s="1"/>
      <c r="E2" s="1"/>
      <c r="F2" s="2" t="s">
        <v>1</v>
      </c>
      <c r="G2" s="1"/>
      <c r="H2" s="3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</row>
    <row r="3" spans="2:1019" ht="20.399999999999999" customHeight="1" x14ac:dyDescent="0.3">
      <c r="B3" s="97" t="s">
        <v>2</v>
      </c>
      <c r="C3" s="97"/>
      <c r="D3" s="97"/>
      <c r="E3" s="97"/>
      <c r="F3" s="97"/>
      <c r="G3" s="97"/>
      <c r="H3" s="98"/>
    </row>
    <row r="4" spans="2:1019" ht="16.95" customHeight="1" x14ac:dyDescent="0.3">
      <c r="B4" s="9" t="s">
        <v>3</v>
      </c>
      <c r="C4" s="10"/>
      <c r="D4" s="11"/>
      <c r="E4" s="12"/>
      <c r="F4" s="12"/>
      <c r="G4" s="13"/>
      <c r="H4" s="14"/>
    </row>
    <row r="5" spans="2:1019" ht="16.95" customHeight="1" x14ac:dyDescent="0.3">
      <c r="B5" s="9" t="s">
        <v>4</v>
      </c>
      <c r="C5" s="10"/>
      <c r="D5" s="11"/>
      <c r="E5" s="12"/>
      <c r="F5" s="12"/>
      <c r="G5" s="13"/>
      <c r="H5" s="14"/>
      <c r="J5" s="15" t="s">
        <v>5</v>
      </c>
      <c r="K5" s="15"/>
    </row>
    <row r="7" spans="2:1019" ht="16.95" customHeight="1" x14ac:dyDescent="0.3">
      <c r="B7" s="97" t="s">
        <v>6</v>
      </c>
      <c r="C7" s="97"/>
      <c r="D7" s="97"/>
      <c r="E7" s="97"/>
      <c r="F7" s="97"/>
      <c r="G7" s="97"/>
      <c r="H7" s="97"/>
    </row>
    <row r="8" spans="2:1019" s="20" customFormat="1" ht="40.200000000000003" customHeight="1" x14ac:dyDescent="0.3">
      <c r="B8" s="16" t="s">
        <v>7</v>
      </c>
      <c r="C8" s="16" t="s">
        <v>8</v>
      </c>
      <c r="D8" s="17" t="s">
        <v>9</v>
      </c>
      <c r="E8" s="16" t="s">
        <v>10</v>
      </c>
      <c r="F8" s="16" t="s">
        <v>11</v>
      </c>
      <c r="G8" s="17" t="s">
        <v>12</v>
      </c>
      <c r="H8" s="17" t="s">
        <v>13</v>
      </c>
      <c r="I8" s="18"/>
      <c r="J8" s="5" t="s">
        <v>14</v>
      </c>
      <c r="K8" s="5"/>
      <c r="L8" s="91" t="s">
        <v>59</v>
      </c>
      <c r="M8" s="117"/>
      <c r="N8" s="19"/>
      <c r="O8" s="19"/>
      <c r="P8" s="19"/>
      <c r="Q8" s="19"/>
      <c r="R8" s="19"/>
    </row>
    <row r="9" spans="2:1019" ht="25.2" customHeight="1" x14ac:dyDescent="0.3">
      <c r="B9" s="21" t="s">
        <v>15</v>
      </c>
      <c r="C9" s="22">
        <v>10</v>
      </c>
      <c r="D9" s="23">
        <v>4.5999999999999996</v>
      </c>
      <c r="E9" s="24">
        <v>0.08</v>
      </c>
      <c r="F9" s="25">
        <v>0.37</v>
      </c>
      <c r="G9" s="25">
        <v>4.2300000000000004</v>
      </c>
      <c r="H9" s="26">
        <v>42.3</v>
      </c>
    </row>
    <row r="10" spans="2:1019" ht="25.2" customHeight="1" x14ac:dyDescent="0.3">
      <c r="B10" s="21" t="s">
        <v>16</v>
      </c>
      <c r="C10" s="22">
        <v>120</v>
      </c>
      <c r="D10" s="23">
        <v>9.06</v>
      </c>
      <c r="E10" s="24">
        <v>0.08</v>
      </c>
      <c r="F10" s="25">
        <f t="shared" ref="F10:F14" si="0">D10*E10</f>
        <v>0.7248</v>
      </c>
      <c r="G10" s="25">
        <f t="shared" ref="G10:G14" si="1">D10-F10</f>
        <v>8.3352000000000004</v>
      </c>
      <c r="H10" s="26">
        <f t="shared" ref="H10:H14" si="2">G10*C10</f>
        <v>1000.224</v>
      </c>
      <c r="J10" s="5" t="s">
        <v>17</v>
      </c>
      <c r="L10" s="118"/>
      <c r="M10" s="119"/>
      <c r="N10" s="27"/>
      <c r="O10" s="27"/>
      <c r="P10" s="27"/>
      <c r="Q10" s="27"/>
      <c r="R10" s="27"/>
    </row>
    <row r="11" spans="2:1019" ht="25.2" customHeight="1" x14ac:dyDescent="0.3">
      <c r="B11" s="21" t="s">
        <v>18</v>
      </c>
      <c r="C11" s="22">
        <v>50</v>
      </c>
      <c r="D11" s="23">
        <v>3.56</v>
      </c>
      <c r="E11" s="24"/>
      <c r="F11" s="25">
        <f t="shared" si="0"/>
        <v>0</v>
      </c>
      <c r="G11" s="25">
        <f t="shared" si="1"/>
        <v>3.56</v>
      </c>
      <c r="H11" s="26">
        <f t="shared" si="2"/>
        <v>178</v>
      </c>
      <c r="L11" s="28"/>
      <c r="M11" s="28"/>
      <c r="N11" s="28"/>
      <c r="O11" s="28"/>
      <c r="P11" s="28"/>
      <c r="Q11" s="28"/>
      <c r="R11" s="28"/>
    </row>
    <row r="12" spans="2:1019" ht="25.2" customHeight="1" x14ac:dyDescent="0.3">
      <c r="B12" s="21" t="s">
        <v>19</v>
      </c>
      <c r="C12" s="22">
        <v>66</v>
      </c>
      <c r="D12" s="23">
        <v>4.3899999999999997</v>
      </c>
      <c r="E12" s="24">
        <v>0.1</v>
      </c>
      <c r="F12" s="25">
        <f t="shared" si="0"/>
        <v>0.439</v>
      </c>
      <c r="G12" s="25">
        <f t="shared" si="1"/>
        <v>3.9509999999999996</v>
      </c>
      <c r="H12" s="26">
        <f t="shared" si="2"/>
        <v>260.76599999999996</v>
      </c>
      <c r="J12" s="5" t="s">
        <v>20</v>
      </c>
      <c r="L12" s="118"/>
      <c r="M12" s="27"/>
      <c r="N12" s="27"/>
      <c r="O12" s="27"/>
      <c r="P12" s="27"/>
      <c r="Q12" s="27"/>
      <c r="R12" s="27"/>
    </row>
    <row r="13" spans="2:1019" ht="25.2" customHeight="1" x14ac:dyDescent="0.3">
      <c r="B13" s="21" t="s">
        <v>21</v>
      </c>
      <c r="C13" s="22">
        <v>45</v>
      </c>
      <c r="D13" s="23">
        <v>8.61</v>
      </c>
      <c r="E13" s="24">
        <v>0.1</v>
      </c>
      <c r="F13" s="25">
        <f t="shared" si="0"/>
        <v>0.86099999999999999</v>
      </c>
      <c r="G13" s="25">
        <f t="shared" si="1"/>
        <v>7.7489999999999997</v>
      </c>
      <c r="H13" s="26">
        <f t="shared" si="2"/>
        <v>348.70499999999998</v>
      </c>
    </row>
    <row r="14" spans="2:1019" ht="25.2" customHeight="1" x14ac:dyDescent="0.3">
      <c r="B14" s="21" t="s">
        <v>22</v>
      </c>
      <c r="C14" s="22">
        <v>65</v>
      </c>
      <c r="D14" s="23">
        <v>3.48</v>
      </c>
      <c r="E14" s="24"/>
      <c r="F14" s="25">
        <f t="shared" si="0"/>
        <v>0</v>
      </c>
      <c r="G14" s="25">
        <f t="shared" si="1"/>
        <v>3.48</v>
      </c>
      <c r="H14" s="26">
        <f t="shared" si="2"/>
        <v>226.2</v>
      </c>
      <c r="J14" s="5" t="s">
        <v>23</v>
      </c>
      <c r="L14" s="118"/>
      <c r="M14" s="120"/>
      <c r="N14" s="27"/>
      <c r="O14" s="27"/>
      <c r="P14" s="27"/>
      <c r="Q14" s="27"/>
      <c r="R14" s="27"/>
    </row>
    <row r="15" spans="2:1019" ht="25.2" customHeight="1" x14ac:dyDescent="0.3">
      <c r="B15" s="29" t="s">
        <v>24</v>
      </c>
      <c r="C15" s="30"/>
      <c r="D15" s="9" t="s">
        <v>25</v>
      </c>
      <c r="E15" s="10"/>
      <c r="F15" s="13"/>
      <c r="G15" s="31"/>
      <c r="H15" s="26">
        <v>2056.1999999999998</v>
      </c>
      <c r="I15" s="86"/>
    </row>
    <row r="16" spans="2:1019" ht="25.2" customHeight="1" x14ac:dyDescent="0.3">
      <c r="B16" s="32" t="s">
        <v>26</v>
      </c>
      <c r="C16" s="33"/>
      <c r="D16" s="9" t="s">
        <v>27</v>
      </c>
      <c r="E16" s="9"/>
      <c r="F16" s="34" t="s">
        <v>28</v>
      </c>
      <c r="G16" s="87">
        <v>0.02</v>
      </c>
      <c r="H16" s="26">
        <f>H15*G16</f>
        <v>41.123999999999995</v>
      </c>
      <c r="J16" s="5" t="s">
        <v>29</v>
      </c>
      <c r="L16" s="118"/>
      <c r="M16" s="121"/>
      <c r="N16" s="27"/>
      <c r="O16" s="27"/>
      <c r="P16" s="27"/>
      <c r="Q16" s="27"/>
      <c r="R16" s="27"/>
    </row>
    <row r="17" spans="2:20" ht="25.2" customHeight="1" x14ac:dyDescent="0.3">
      <c r="B17" s="35"/>
      <c r="C17" s="33"/>
      <c r="D17" s="9" t="s">
        <v>30</v>
      </c>
      <c r="E17" s="10"/>
      <c r="F17" s="36"/>
      <c r="G17" s="37"/>
      <c r="H17" s="26">
        <f>H15-H16</f>
        <v>2015.0759999999998</v>
      </c>
      <c r="I17" s="90"/>
    </row>
    <row r="18" spans="2:20" ht="25.2" customHeight="1" x14ac:dyDescent="0.3">
      <c r="B18" s="32" t="s">
        <v>31</v>
      </c>
      <c r="C18" s="33"/>
      <c r="D18" s="9" t="s">
        <v>32</v>
      </c>
      <c r="E18" s="10"/>
      <c r="F18" s="10" t="s">
        <v>28</v>
      </c>
      <c r="G18" s="38">
        <v>5.5E-2</v>
      </c>
      <c r="H18" s="26">
        <v>110.83</v>
      </c>
      <c r="J18" s="5" t="s">
        <v>33</v>
      </c>
      <c r="L18" s="118"/>
      <c r="M18" s="119"/>
      <c r="N18" s="27"/>
      <c r="O18" s="27"/>
      <c r="P18" s="27"/>
      <c r="Q18" s="27"/>
      <c r="R18" s="27"/>
    </row>
    <row r="19" spans="2:20" ht="25.2" customHeight="1" x14ac:dyDescent="0.3">
      <c r="B19" s="39"/>
      <c r="C19" s="40"/>
      <c r="D19" s="41" t="s">
        <v>34</v>
      </c>
      <c r="E19" s="42"/>
      <c r="F19" s="43"/>
      <c r="G19" s="44"/>
      <c r="H19" s="26">
        <v>2125.91</v>
      </c>
      <c r="I19" s="90"/>
    </row>
    <row r="20" spans="2:20" ht="16.95" customHeight="1" x14ac:dyDescent="0.3">
      <c r="D20" s="45"/>
      <c r="E20" s="45"/>
      <c r="G20" s="46"/>
      <c r="H20" s="47"/>
    </row>
    <row r="21" spans="2:20" ht="28.35" customHeight="1" x14ac:dyDescent="0.3">
      <c r="B21" s="45"/>
      <c r="D21" s="48"/>
      <c r="H21" s="47"/>
    </row>
    <row r="22" spans="2:20" ht="25.2" customHeight="1" x14ac:dyDescent="0.3">
      <c r="B22" s="49" t="s">
        <v>35</v>
      </c>
      <c r="C22" s="49"/>
      <c r="D22" s="49"/>
      <c r="E22" s="49"/>
      <c r="F22" s="49"/>
      <c r="G22" s="2" t="s">
        <v>1</v>
      </c>
      <c r="H22" s="49"/>
      <c r="I22" s="49"/>
    </row>
    <row r="23" spans="2:20" ht="25.2" customHeight="1" x14ac:dyDescent="0.3">
      <c r="B23" s="99" t="s">
        <v>2</v>
      </c>
      <c r="C23" s="99"/>
      <c r="D23" s="99"/>
      <c r="E23" s="99"/>
      <c r="F23" s="99"/>
      <c r="G23" s="99"/>
      <c r="H23" s="99"/>
      <c r="I23" s="99"/>
      <c r="J23" s="99"/>
      <c r="K23" s="50"/>
    </row>
    <row r="24" spans="2:20" ht="25.2" customHeight="1" x14ac:dyDescent="0.3">
      <c r="B24" s="100" t="s">
        <v>36</v>
      </c>
      <c r="C24" s="101"/>
      <c r="D24" s="101"/>
      <c r="E24" s="101"/>
      <c r="F24" s="101"/>
      <c r="G24" s="101"/>
      <c r="H24" s="101"/>
      <c r="I24" s="101"/>
      <c r="J24" s="102"/>
      <c r="K24" s="51"/>
    </row>
    <row r="25" spans="2:20" ht="25.2" customHeight="1" x14ac:dyDescent="0.3"/>
    <row r="26" spans="2:20" ht="25.2" customHeight="1" x14ac:dyDescent="0.3">
      <c r="B26" s="103" t="s">
        <v>6</v>
      </c>
      <c r="C26" s="104"/>
      <c r="D26" s="104"/>
      <c r="E26" s="104"/>
      <c r="F26" s="104"/>
      <c r="G26" s="104"/>
      <c r="H26" s="104"/>
      <c r="I26" s="104"/>
      <c r="J26" s="104"/>
      <c r="K26" s="52"/>
      <c r="M26" s="15" t="s">
        <v>5</v>
      </c>
    </row>
    <row r="27" spans="2:20" ht="41.4" customHeight="1" x14ac:dyDescent="0.3">
      <c r="B27" s="92" t="s">
        <v>7</v>
      </c>
      <c r="C27" s="93"/>
      <c r="D27" s="94"/>
      <c r="E27" s="53" t="s">
        <v>8</v>
      </c>
      <c r="F27" s="54" t="s">
        <v>9</v>
      </c>
      <c r="G27" s="53" t="s">
        <v>37</v>
      </c>
      <c r="H27" s="55" t="s">
        <v>38</v>
      </c>
      <c r="I27" s="95" t="s">
        <v>13</v>
      </c>
      <c r="J27" s="96"/>
      <c r="K27" s="56" t="s">
        <v>39</v>
      </c>
    </row>
    <row r="28" spans="2:20" ht="25.2" customHeight="1" x14ac:dyDescent="0.3">
      <c r="B28" s="105" t="s">
        <v>40</v>
      </c>
      <c r="C28" s="106"/>
      <c r="D28" s="107"/>
      <c r="E28" s="88">
        <v>150</v>
      </c>
      <c r="F28" s="89">
        <v>10.31</v>
      </c>
      <c r="G28" s="57">
        <v>0.25</v>
      </c>
      <c r="H28" s="58">
        <f>F28-(F28*G28)</f>
        <v>7.7324999999999999</v>
      </c>
      <c r="I28" s="108">
        <v>1159.8800000000001</v>
      </c>
      <c r="J28" s="109"/>
      <c r="K28" s="59">
        <v>1</v>
      </c>
      <c r="M28" s="4" t="s">
        <v>41</v>
      </c>
      <c r="N28" s="118"/>
      <c r="O28" s="27"/>
      <c r="P28" s="121"/>
      <c r="Q28" s="118"/>
      <c r="R28" s="27"/>
      <c r="S28" s="122"/>
      <c r="T28" s="123"/>
    </row>
    <row r="29" spans="2:20" ht="25.2" customHeight="1" x14ac:dyDescent="0.3">
      <c r="B29" s="105" t="s">
        <v>42</v>
      </c>
      <c r="C29" s="106"/>
      <c r="D29" s="107"/>
      <c r="E29" s="88">
        <v>23</v>
      </c>
      <c r="F29" s="89">
        <v>8.4600000000000009</v>
      </c>
      <c r="G29" s="57">
        <v>0.1</v>
      </c>
      <c r="H29" s="58">
        <f>F29-(F29*G29)</f>
        <v>7.6140000000000008</v>
      </c>
      <c r="I29" s="108">
        <f t="shared" ref="I29" si="3">H29*E29</f>
        <v>175.12200000000001</v>
      </c>
      <c r="J29" s="109"/>
      <c r="K29" s="59">
        <v>1</v>
      </c>
      <c r="M29" s="4"/>
      <c r="T29" s="123"/>
    </row>
    <row r="30" spans="2:20" ht="25.2" customHeight="1" x14ac:dyDescent="0.3">
      <c r="B30" s="105" t="s">
        <v>43</v>
      </c>
      <c r="C30" s="106"/>
      <c r="D30" s="107"/>
      <c r="E30" s="60">
        <v>88</v>
      </c>
      <c r="F30" s="61">
        <v>5.05</v>
      </c>
      <c r="G30" s="57">
        <v>0.09</v>
      </c>
      <c r="H30" s="58">
        <f t="shared" ref="H30:H35" si="4">F30-(F30*G30)</f>
        <v>4.5954999999999995</v>
      </c>
      <c r="I30" s="108">
        <f t="shared" ref="I30:I35" si="5">H30*E30</f>
        <v>404.40399999999994</v>
      </c>
      <c r="J30" s="109"/>
      <c r="K30" s="59">
        <v>1</v>
      </c>
      <c r="M30" s="4" t="s">
        <v>44</v>
      </c>
      <c r="N30" s="118"/>
      <c r="O30" s="121"/>
      <c r="P30" s="27"/>
      <c r="Q30" s="27"/>
      <c r="R30" s="27"/>
    </row>
    <row r="31" spans="2:20" ht="25.2" customHeight="1" x14ac:dyDescent="0.3">
      <c r="B31" s="105" t="s">
        <v>45</v>
      </c>
      <c r="C31" s="106"/>
      <c r="D31" s="107"/>
      <c r="E31" s="60">
        <v>100</v>
      </c>
      <c r="F31" s="61">
        <v>5.79</v>
      </c>
      <c r="G31" s="57"/>
      <c r="H31" s="58">
        <f t="shared" si="4"/>
        <v>5.79</v>
      </c>
      <c r="I31" s="108">
        <f t="shared" si="5"/>
        <v>579</v>
      </c>
      <c r="J31" s="109"/>
      <c r="K31" s="59">
        <v>1</v>
      </c>
      <c r="M31" s="4"/>
    </row>
    <row r="32" spans="2:20" ht="25.2" customHeight="1" x14ac:dyDescent="0.3">
      <c r="B32" s="105" t="s">
        <v>46</v>
      </c>
      <c r="C32" s="106"/>
      <c r="D32" s="107"/>
      <c r="E32" s="88">
        <v>50</v>
      </c>
      <c r="F32" s="89">
        <v>4.97</v>
      </c>
      <c r="G32" s="57"/>
      <c r="H32" s="58">
        <f t="shared" si="4"/>
        <v>4.97</v>
      </c>
      <c r="I32" s="108">
        <f t="shared" si="5"/>
        <v>248.5</v>
      </c>
      <c r="J32" s="109"/>
      <c r="K32" s="59">
        <v>1</v>
      </c>
      <c r="M32" s="4" t="s">
        <v>47</v>
      </c>
      <c r="N32" s="118"/>
      <c r="O32" s="27"/>
      <c r="P32" s="119"/>
      <c r="Q32" s="118"/>
      <c r="R32" s="27"/>
    </row>
    <row r="33" spans="2:18" ht="25.2" customHeight="1" x14ac:dyDescent="0.3">
      <c r="B33" s="105" t="s">
        <v>48</v>
      </c>
      <c r="C33" s="106"/>
      <c r="D33" s="107"/>
      <c r="E33" s="88">
        <v>60</v>
      </c>
      <c r="F33" s="89">
        <v>5.79</v>
      </c>
      <c r="G33" s="57">
        <v>0.11</v>
      </c>
      <c r="H33" s="58">
        <f t="shared" si="4"/>
        <v>5.1531000000000002</v>
      </c>
      <c r="I33" s="108">
        <f t="shared" si="5"/>
        <v>309.18600000000004</v>
      </c>
      <c r="J33" s="109"/>
      <c r="K33" s="59">
        <v>1</v>
      </c>
      <c r="M33" s="4"/>
    </row>
    <row r="34" spans="2:18" ht="25.2" customHeight="1" x14ac:dyDescent="0.3">
      <c r="B34" s="105" t="s">
        <v>49</v>
      </c>
      <c r="C34" s="106"/>
      <c r="D34" s="107"/>
      <c r="E34" s="60">
        <v>30</v>
      </c>
      <c r="F34" s="61">
        <v>5.05</v>
      </c>
      <c r="G34" s="57"/>
      <c r="H34" s="58">
        <f t="shared" si="4"/>
        <v>5.05</v>
      </c>
      <c r="I34" s="108">
        <f t="shared" si="5"/>
        <v>151.5</v>
      </c>
      <c r="J34" s="109"/>
      <c r="K34" s="59">
        <v>1</v>
      </c>
      <c r="M34" s="4" t="s">
        <v>50</v>
      </c>
      <c r="N34" s="118"/>
      <c r="O34" s="121"/>
      <c r="P34" s="27"/>
      <c r="Q34" s="27"/>
      <c r="R34" s="27"/>
    </row>
    <row r="35" spans="2:18" ht="25.2" customHeight="1" x14ac:dyDescent="0.3">
      <c r="B35" s="105" t="s">
        <v>51</v>
      </c>
      <c r="C35" s="106"/>
      <c r="D35" s="107"/>
      <c r="E35" s="60">
        <v>120</v>
      </c>
      <c r="F35" s="61">
        <v>1.0900000000000001</v>
      </c>
      <c r="G35" s="57">
        <v>0.05</v>
      </c>
      <c r="H35" s="58">
        <f t="shared" si="4"/>
        <v>1.0355000000000001</v>
      </c>
      <c r="I35" s="108">
        <f t="shared" si="5"/>
        <v>124.26</v>
      </c>
      <c r="J35" s="109"/>
      <c r="K35" s="59">
        <v>1</v>
      </c>
      <c r="M35" s="4"/>
    </row>
    <row r="36" spans="2:18" ht="25.2" customHeight="1" x14ac:dyDescent="0.3">
      <c r="B36" s="62"/>
      <c r="C36" s="45"/>
      <c r="D36" s="45"/>
      <c r="F36" s="63" t="s">
        <v>25</v>
      </c>
      <c r="G36" s="42"/>
      <c r="H36" s="64"/>
      <c r="I36" s="110">
        <f>SUM(I28:J35)</f>
        <v>3151.8520000000003</v>
      </c>
      <c r="J36" s="109"/>
      <c r="K36" s="65"/>
      <c r="M36" s="4" t="s">
        <v>52</v>
      </c>
      <c r="N36" s="118"/>
      <c r="O36" s="119"/>
      <c r="P36" s="27"/>
      <c r="Q36" s="27"/>
      <c r="R36" s="27"/>
    </row>
    <row r="37" spans="2:18" ht="25.2" customHeight="1" x14ac:dyDescent="0.3">
      <c r="B37" s="32"/>
      <c r="F37" s="66" t="s">
        <v>53</v>
      </c>
      <c r="G37" s="67">
        <v>0.09</v>
      </c>
      <c r="H37" s="68"/>
      <c r="I37" s="110">
        <f>I36*G37</f>
        <v>283.66668000000004</v>
      </c>
      <c r="J37" s="109"/>
      <c r="K37" s="65"/>
      <c r="M37" s="4"/>
    </row>
    <row r="38" spans="2:18" ht="19.95" customHeight="1" x14ac:dyDescent="0.3">
      <c r="B38" s="111" t="s">
        <v>54</v>
      </c>
      <c r="C38" s="112"/>
      <c r="D38" s="113"/>
      <c r="F38" s="66" t="s">
        <v>55</v>
      </c>
      <c r="G38" s="10"/>
      <c r="H38" s="37"/>
      <c r="I38" s="110">
        <v>2868.19</v>
      </c>
      <c r="J38" s="109"/>
      <c r="K38" s="65"/>
      <c r="M38" s="4" t="s">
        <v>56</v>
      </c>
      <c r="N38" s="118"/>
      <c r="O38" s="27"/>
      <c r="P38" s="27"/>
      <c r="Q38" s="27"/>
      <c r="R38" s="27"/>
    </row>
    <row r="39" spans="2:18" ht="19.95" customHeight="1" x14ac:dyDescent="0.3">
      <c r="B39" s="69" t="s">
        <v>57</v>
      </c>
      <c r="C39" s="70" t="s">
        <v>58</v>
      </c>
      <c r="D39" s="70" t="s">
        <v>32</v>
      </c>
      <c r="E39" s="71"/>
      <c r="F39" s="71" t="s">
        <v>27</v>
      </c>
      <c r="G39" s="72">
        <v>0.02</v>
      </c>
      <c r="H39" s="73"/>
      <c r="I39" s="110">
        <f>I38*G39</f>
        <v>57.363800000000005</v>
      </c>
      <c r="J39" s="109"/>
      <c r="K39" s="65"/>
    </row>
    <row r="40" spans="2:18" ht="19.95" customHeight="1" x14ac:dyDescent="0.3">
      <c r="B40" s="74">
        <v>2810.48</v>
      </c>
      <c r="C40" s="75">
        <v>5.5E-2</v>
      </c>
      <c r="D40" s="76">
        <f>B40*C40</f>
        <v>154.57640000000001</v>
      </c>
      <c r="E40" s="77"/>
      <c r="F40" s="78" t="s">
        <v>30</v>
      </c>
      <c r="G40" s="10"/>
      <c r="H40" s="37"/>
      <c r="I40" s="110">
        <f>I38-I39</f>
        <v>2810.8262</v>
      </c>
      <c r="J40" s="109"/>
      <c r="K40" s="65"/>
      <c r="M40" s="90"/>
    </row>
    <row r="41" spans="2:18" ht="19.95" customHeight="1" x14ac:dyDescent="0.3">
      <c r="B41" s="79"/>
      <c r="C41" s="80">
        <v>0.2</v>
      </c>
      <c r="D41" s="70"/>
      <c r="E41" s="71"/>
      <c r="F41" s="114" t="s">
        <v>32</v>
      </c>
      <c r="G41" s="115"/>
      <c r="H41" s="116"/>
      <c r="I41" s="108">
        <v>154.58000000000001</v>
      </c>
      <c r="J41" s="109"/>
      <c r="K41" s="65"/>
    </row>
    <row r="42" spans="2:18" ht="19.95" customHeight="1" x14ac:dyDescent="0.3">
      <c r="B42" s="79"/>
      <c r="C42" s="81"/>
      <c r="D42" s="82"/>
      <c r="E42" s="77"/>
      <c r="F42" s="83" t="s">
        <v>34</v>
      </c>
      <c r="G42" s="84"/>
      <c r="H42" s="85"/>
      <c r="I42" s="110">
        <f>I40+I41</f>
        <v>2965.4061999999999</v>
      </c>
      <c r="J42" s="109"/>
      <c r="K42" s="65"/>
    </row>
    <row r="1048348" spans="10:11" s="7" customFormat="1" ht="12.75" customHeight="1" x14ac:dyDescent="0.3">
      <c r="J1048348" s="5"/>
      <c r="K1048348" s="5"/>
    </row>
    <row r="1048349" spans="10:11" s="7" customFormat="1" ht="12.75" customHeight="1" x14ac:dyDescent="0.3">
      <c r="J1048349" s="5"/>
      <c r="K1048349" s="5"/>
    </row>
    <row r="1048350" spans="10:11" s="7" customFormat="1" ht="12.75" customHeight="1" x14ac:dyDescent="0.3">
      <c r="J1048350" s="5"/>
      <c r="K1048350" s="5"/>
    </row>
    <row r="1048351" spans="10:11" s="7" customFormat="1" ht="12.75" customHeight="1" x14ac:dyDescent="0.3">
      <c r="J1048351" s="5"/>
      <c r="K1048351" s="5"/>
    </row>
    <row r="1048352" spans="10:11" s="7" customFormat="1" ht="12.75" customHeight="1" x14ac:dyDescent="0.3">
      <c r="J1048352" s="5"/>
      <c r="K1048352" s="5"/>
    </row>
    <row r="1048353" spans="10:11" s="7" customFormat="1" ht="12.75" customHeight="1" x14ac:dyDescent="0.3">
      <c r="J1048353" s="5"/>
      <c r="K1048353" s="5"/>
    </row>
    <row r="1048354" spans="10:11" s="7" customFormat="1" ht="12.75" customHeight="1" x14ac:dyDescent="0.3">
      <c r="J1048354" s="5"/>
      <c r="K1048354" s="5"/>
    </row>
    <row r="1048355" spans="10:11" s="7" customFormat="1" ht="12.75" customHeight="1" x14ac:dyDescent="0.3">
      <c r="J1048355" s="5"/>
      <c r="K1048355" s="5"/>
    </row>
    <row r="1048356" spans="10:11" s="7" customFormat="1" ht="12.75" customHeight="1" x14ac:dyDescent="0.3">
      <c r="J1048356" s="5"/>
      <c r="K1048356" s="5"/>
    </row>
    <row r="1048357" spans="10:11" s="7" customFormat="1" ht="12.75" customHeight="1" x14ac:dyDescent="0.3">
      <c r="J1048357" s="5"/>
      <c r="K1048357" s="5"/>
    </row>
    <row r="1048358" spans="10:11" s="7" customFormat="1" ht="12.75" customHeight="1" x14ac:dyDescent="0.3">
      <c r="J1048358" s="5"/>
      <c r="K1048358" s="5"/>
    </row>
    <row r="1048359" spans="10:11" s="7" customFormat="1" ht="12.75" customHeight="1" x14ac:dyDescent="0.3">
      <c r="J1048359" s="5"/>
      <c r="K1048359" s="5"/>
    </row>
    <row r="1048360" spans="10:11" s="7" customFormat="1" ht="12.75" customHeight="1" x14ac:dyDescent="0.3">
      <c r="J1048360" s="5"/>
      <c r="K1048360" s="5"/>
    </row>
    <row r="1048361" spans="10:11" s="7" customFormat="1" ht="12.75" customHeight="1" x14ac:dyDescent="0.3">
      <c r="J1048361" s="5"/>
      <c r="K1048361" s="5"/>
    </row>
    <row r="1048362" spans="10:11" s="7" customFormat="1" ht="12.75" customHeight="1" x14ac:dyDescent="0.3">
      <c r="J1048362" s="5"/>
      <c r="K1048362" s="5"/>
    </row>
    <row r="1048363" spans="10:11" s="7" customFormat="1" ht="12.75" customHeight="1" x14ac:dyDescent="0.3">
      <c r="J1048363" s="5"/>
      <c r="K1048363" s="5"/>
    </row>
    <row r="1048364" spans="10:11" s="7" customFormat="1" ht="12.75" customHeight="1" x14ac:dyDescent="0.3">
      <c r="J1048364" s="5"/>
      <c r="K1048364" s="5"/>
    </row>
    <row r="1048365" spans="10:11" s="7" customFormat="1" ht="12.75" customHeight="1" x14ac:dyDescent="0.3">
      <c r="J1048365" s="5"/>
      <c r="K1048365" s="5"/>
    </row>
    <row r="1048366" spans="10:11" s="7" customFormat="1" ht="12.75" customHeight="1" x14ac:dyDescent="0.3">
      <c r="J1048366" s="5"/>
      <c r="K1048366" s="5"/>
    </row>
    <row r="1048367" spans="10:11" s="7" customFormat="1" ht="12.75" customHeight="1" x14ac:dyDescent="0.3">
      <c r="J1048367" s="5"/>
      <c r="K1048367" s="5"/>
    </row>
    <row r="1048368" spans="10:11" s="7" customFormat="1" ht="12.75" customHeight="1" x14ac:dyDescent="0.3">
      <c r="J1048368" s="5"/>
      <c r="K1048368" s="5"/>
    </row>
    <row r="1048369" spans="10:11" s="7" customFormat="1" ht="12.75" customHeight="1" x14ac:dyDescent="0.3">
      <c r="J1048369" s="5"/>
      <c r="K1048369" s="5"/>
    </row>
    <row r="1048370" spans="10:11" s="7" customFormat="1" ht="12.75" customHeight="1" x14ac:dyDescent="0.3">
      <c r="J1048370" s="5"/>
      <c r="K1048370" s="5"/>
    </row>
    <row r="1048371" spans="10:11" s="7" customFormat="1" ht="12.75" customHeight="1" x14ac:dyDescent="0.3">
      <c r="J1048371" s="5"/>
      <c r="K1048371" s="5"/>
    </row>
    <row r="1048372" spans="10:11" s="7" customFormat="1" ht="12.75" customHeight="1" x14ac:dyDescent="0.3">
      <c r="J1048372" s="5"/>
      <c r="K1048372" s="5"/>
    </row>
    <row r="1048373" spans="10:11" s="7" customFormat="1" ht="12.75" customHeight="1" x14ac:dyDescent="0.3">
      <c r="J1048373" s="5"/>
      <c r="K1048373" s="5"/>
    </row>
    <row r="1048374" spans="10:11" s="7" customFormat="1" ht="12.75" customHeight="1" x14ac:dyDescent="0.3">
      <c r="J1048374" s="5"/>
      <c r="K1048374" s="5"/>
    </row>
    <row r="1048375" spans="10:11" s="7" customFormat="1" ht="12.75" customHeight="1" x14ac:dyDescent="0.3">
      <c r="J1048375" s="5"/>
      <c r="K1048375" s="5"/>
    </row>
    <row r="1048376" spans="10:11" s="7" customFormat="1" ht="12.75" customHeight="1" x14ac:dyDescent="0.3">
      <c r="J1048376" s="5"/>
      <c r="K1048376" s="5"/>
    </row>
    <row r="1048377" spans="10:11" s="7" customFormat="1" ht="12.75" customHeight="1" x14ac:dyDescent="0.3">
      <c r="J1048377" s="5"/>
      <c r="K1048377" s="5"/>
    </row>
    <row r="1048378" spans="10:11" s="7" customFormat="1" ht="12.75" customHeight="1" x14ac:dyDescent="0.3">
      <c r="J1048378" s="5"/>
      <c r="K1048378" s="5"/>
    </row>
    <row r="1048379" spans="10:11" s="7" customFormat="1" ht="12.75" customHeight="1" x14ac:dyDescent="0.3">
      <c r="J1048379" s="5"/>
      <c r="K1048379" s="5"/>
    </row>
    <row r="1048380" spans="10:11" s="7" customFormat="1" ht="12.75" customHeight="1" x14ac:dyDescent="0.3">
      <c r="J1048380" s="5"/>
      <c r="K1048380" s="5"/>
    </row>
    <row r="1048381" spans="10:11" s="7" customFormat="1" ht="12.75" customHeight="1" x14ac:dyDescent="0.3">
      <c r="J1048381" s="5"/>
      <c r="K1048381" s="5"/>
    </row>
    <row r="1048382" spans="10:11" s="7" customFormat="1" ht="12.75" customHeight="1" x14ac:dyDescent="0.3">
      <c r="J1048382" s="5"/>
      <c r="K1048382" s="5"/>
    </row>
    <row r="1048383" spans="10:11" s="7" customFormat="1" ht="12.75" customHeight="1" x14ac:dyDescent="0.3">
      <c r="J1048383" s="5"/>
      <c r="K1048383" s="5"/>
    </row>
    <row r="1048384" spans="10:11" s="7" customFormat="1" ht="12.75" customHeight="1" x14ac:dyDescent="0.3">
      <c r="J1048384" s="5"/>
      <c r="K1048384" s="5"/>
    </row>
    <row r="1048385" spans="10:11" s="7" customFormat="1" ht="12.75" customHeight="1" x14ac:dyDescent="0.3">
      <c r="J1048385" s="5"/>
      <c r="K1048385" s="5"/>
    </row>
    <row r="1048386" spans="10:11" s="7" customFormat="1" ht="12.75" customHeight="1" x14ac:dyDescent="0.3">
      <c r="J1048386" s="5"/>
      <c r="K1048386" s="5"/>
    </row>
    <row r="1048387" spans="10:11" s="7" customFormat="1" ht="12.75" customHeight="1" x14ac:dyDescent="0.3">
      <c r="J1048387" s="5"/>
      <c r="K1048387" s="5"/>
    </row>
    <row r="1048388" spans="10:11" s="7" customFormat="1" ht="12.75" customHeight="1" x14ac:dyDescent="0.3">
      <c r="J1048388" s="5"/>
      <c r="K1048388" s="5"/>
    </row>
    <row r="1048389" spans="10:11" s="7" customFormat="1" ht="12.75" customHeight="1" x14ac:dyDescent="0.3">
      <c r="J1048389" s="5"/>
      <c r="K1048389" s="5"/>
    </row>
    <row r="1048390" spans="10:11" s="7" customFormat="1" ht="12.75" customHeight="1" x14ac:dyDescent="0.3">
      <c r="J1048390" s="5"/>
      <c r="K1048390" s="5"/>
    </row>
    <row r="1048391" spans="10:11" s="7" customFormat="1" ht="12.75" customHeight="1" x14ac:dyDescent="0.3">
      <c r="J1048391" s="5"/>
      <c r="K1048391" s="5"/>
    </row>
    <row r="1048392" spans="10:11" s="7" customFormat="1" ht="12.75" customHeight="1" x14ac:dyDescent="0.3">
      <c r="J1048392" s="5"/>
      <c r="K1048392" s="5"/>
    </row>
    <row r="1048393" spans="10:11" s="7" customFormat="1" ht="12.75" customHeight="1" x14ac:dyDescent="0.3">
      <c r="J1048393" s="5"/>
      <c r="K1048393" s="5"/>
    </row>
    <row r="1048394" spans="10:11" s="7" customFormat="1" ht="12.75" customHeight="1" x14ac:dyDescent="0.3">
      <c r="J1048394" s="5"/>
      <c r="K1048394" s="5"/>
    </row>
    <row r="1048395" spans="10:11" s="7" customFormat="1" ht="12.75" customHeight="1" x14ac:dyDescent="0.3">
      <c r="J1048395" s="5"/>
      <c r="K1048395" s="5"/>
    </row>
    <row r="1048396" spans="10:11" s="7" customFormat="1" ht="12.75" customHeight="1" x14ac:dyDescent="0.3">
      <c r="J1048396" s="5"/>
      <c r="K1048396" s="5"/>
    </row>
    <row r="1048397" spans="10:11" s="7" customFormat="1" ht="12.75" customHeight="1" x14ac:dyDescent="0.3">
      <c r="J1048397" s="5"/>
      <c r="K1048397" s="5"/>
    </row>
    <row r="1048398" spans="10:11" s="7" customFormat="1" ht="12.75" customHeight="1" x14ac:dyDescent="0.3">
      <c r="J1048398" s="5"/>
      <c r="K1048398" s="5"/>
    </row>
    <row r="1048399" spans="10:11" s="7" customFormat="1" ht="12.75" customHeight="1" x14ac:dyDescent="0.3">
      <c r="J1048399" s="5"/>
      <c r="K1048399" s="5"/>
    </row>
    <row r="1048400" spans="10:11" s="7" customFormat="1" ht="12.75" customHeight="1" x14ac:dyDescent="0.3">
      <c r="J1048400" s="5"/>
      <c r="K1048400" s="5"/>
    </row>
    <row r="1048401" spans="10:11" s="7" customFormat="1" ht="12.75" customHeight="1" x14ac:dyDescent="0.3">
      <c r="J1048401" s="5"/>
      <c r="K1048401" s="5"/>
    </row>
    <row r="1048402" spans="10:11" s="7" customFormat="1" ht="12.75" customHeight="1" x14ac:dyDescent="0.3">
      <c r="J1048402" s="5"/>
      <c r="K1048402" s="5"/>
    </row>
    <row r="1048403" spans="10:11" s="7" customFormat="1" ht="12.75" customHeight="1" x14ac:dyDescent="0.3">
      <c r="J1048403" s="5"/>
      <c r="K1048403" s="5"/>
    </row>
    <row r="1048404" spans="10:11" s="7" customFormat="1" ht="12.75" customHeight="1" x14ac:dyDescent="0.3">
      <c r="J1048404" s="5"/>
      <c r="K1048404" s="5"/>
    </row>
    <row r="1048405" spans="10:11" s="7" customFormat="1" ht="12.75" customHeight="1" x14ac:dyDescent="0.3">
      <c r="J1048405" s="5"/>
      <c r="K1048405" s="5"/>
    </row>
    <row r="1048406" spans="10:11" s="7" customFormat="1" ht="12.75" customHeight="1" x14ac:dyDescent="0.3">
      <c r="J1048406" s="5"/>
      <c r="K1048406" s="5"/>
    </row>
    <row r="1048407" spans="10:11" s="7" customFormat="1" ht="12.75" customHeight="1" x14ac:dyDescent="0.3">
      <c r="J1048407" s="5"/>
      <c r="K1048407" s="5"/>
    </row>
    <row r="1048408" spans="10:11" s="7" customFormat="1" ht="12.75" customHeight="1" x14ac:dyDescent="0.3">
      <c r="J1048408" s="5"/>
      <c r="K1048408" s="5"/>
    </row>
    <row r="1048409" spans="10:11" s="7" customFormat="1" ht="12.75" customHeight="1" x14ac:dyDescent="0.3">
      <c r="J1048409" s="5"/>
      <c r="K1048409" s="5"/>
    </row>
    <row r="1048410" spans="10:11" s="7" customFormat="1" ht="12.75" customHeight="1" x14ac:dyDescent="0.3">
      <c r="J1048410" s="5"/>
      <c r="K1048410" s="5"/>
    </row>
    <row r="1048411" spans="10:11" s="7" customFormat="1" ht="12.75" customHeight="1" x14ac:dyDescent="0.3">
      <c r="J1048411" s="5"/>
      <c r="K1048411" s="5"/>
    </row>
    <row r="1048412" spans="10:11" s="7" customFormat="1" ht="12.75" customHeight="1" x14ac:dyDescent="0.3">
      <c r="J1048412" s="5"/>
      <c r="K1048412" s="5"/>
    </row>
    <row r="1048413" spans="10:11" s="7" customFormat="1" ht="12.75" customHeight="1" x14ac:dyDescent="0.3">
      <c r="J1048413" s="5"/>
      <c r="K1048413" s="5"/>
    </row>
    <row r="1048414" spans="10:11" s="7" customFormat="1" ht="12.75" customHeight="1" x14ac:dyDescent="0.3">
      <c r="J1048414" s="5"/>
      <c r="K1048414" s="5"/>
    </row>
    <row r="1048415" spans="10:11" s="7" customFormat="1" ht="12.75" customHeight="1" x14ac:dyDescent="0.3">
      <c r="J1048415" s="5"/>
      <c r="K1048415" s="5"/>
    </row>
    <row r="1048416" spans="10:11" s="7" customFormat="1" ht="12.75" customHeight="1" x14ac:dyDescent="0.3">
      <c r="J1048416" s="5"/>
      <c r="K1048416" s="5"/>
    </row>
    <row r="1048417" spans="10:11" s="7" customFormat="1" ht="12.75" customHeight="1" x14ac:dyDescent="0.3">
      <c r="J1048417" s="5"/>
      <c r="K1048417" s="5"/>
    </row>
    <row r="1048418" spans="10:11" s="7" customFormat="1" ht="12.75" customHeight="1" x14ac:dyDescent="0.3">
      <c r="J1048418" s="5"/>
      <c r="K1048418" s="5"/>
    </row>
  </sheetData>
  <mergeCells count="32">
    <mergeCell ref="I42:J42"/>
    <mergeCell ref="B38:D38"/>
    <mergeCell ref="I38:J38"/>
    <mergeCell ref="I39:J39"/>
    <mergeCell ref="I40:J40"/>
    <mergeCell ref="F41:H41"/>
    <mergeCell ref="I41:J41"/>
    <mergeCell ref="I37:J37"/>
    <mergeCell ref="B31:D31"/>
    <mergeCell ref="I31:J31"/>
    <mergeCell ref="B32:D32"/>
    <mergeCell ref="I32:J32"/>
    <mergeCell ref="B33:D33"/>
    <mergeCell ref="I33:J33"/>
    <mergeCell ref="B34:D34"/>
    <mergeCell ref="I34:J34"/>
    <mergeCell ref="B35:D35"/>
    <mergeCell ref="I35:J35"/>
    <mergeCell ref="I36:J36"/>
    <mergeCell ref="B28:D28"/>
    <mergeCell ref="I28:J28"/>
    <mergeCell ref="B29:D29"/>
    <mergeCell ref="I29:J29"/>
    <mergeCell ref="B30:D30"/>
    <mergeCell ref="I30:J30"/>
    <mergeCell ref="B27:D27"/>
    <mergeCell ref="I27:J27"/>
    <mergeCell ref="B3:H3"/>
    <mergeCell ref="B7:H7"/>
    <mergeCell ref="B23:J23"/>
    <mergeCell ref="B24:J24"/>
    <mergeCell ref="B26:J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dcterms:created xsi:type="dcterms:W3CDTF">2024-04-04T08:55:44Z</dcterms:created>
  <dcterms:modified xsi:type="dcterms:W3CDTF">2026-01-20T11:28:10Z</dcterms:modified>
</cp:coreProperties>
</file>